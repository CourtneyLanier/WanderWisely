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red\MyApps\QuickClean\"/>
    </mc:Choice>
  </mc:AlternateContent>
  <xr:revisionPtr revIDLastSave="0" documentId="8_{2D5C29E8-96E0-457E-8968-FB150B321503}" xr6:coauthVersionLast="47" xr6:coauthVersionMax="47" xr10:uidLastSave="{00000000-0000-0000-0000-000000000000}"/>
  <bookViews>
    <workbookView xWindow="-120" yWindow="-120" windowWidth="20730" windowHeight="11160" tabRatio="906" firstSheet="3" activeTab="3" xr2:uid="{96F2E967-5410-450C-9602-32565CD6C261}"/>
  </bookViews>
  <sheets>
    <sheet name="Lists" sheetId="18" state="hidden" r:id="rId1"/>
    <sheet name="Stats" sheetId="1" r:id="rId2"/>
    <sheet name="Chiro" sheetId="19" r:id="rId3"/>
    <sheet name="Massage" sheetId="17" r:id="rId4"/>
    <sheet name="TRT" sheetId="8" r:id="rId5"/>
    <sheet name="SDT" sheetId="9" r:id="rId6"/>
    <sheet name="X-Ray" sheetId="16" r:id="rId7"/>
    <sheet name="SHP" sheetId="10" r:id="rId8"/>
    <sheet name="EWOT" sheetId="12" r:id="rId9"/>
    <sheet name="PEMF" sheetId="13" r:id="rId10"/>
    <sheet name="RLT" sheetId="11" r:id="rId11"/>
    <sheet name="Laser" sheetId="14" r:id="rId12"/>
    <sheet name="US" sheetId="15" r:id="rId13"/>
  </sheets>
  <definedNames>
    <definedName name="Months">Lists!$A:$A</definedName>
    <definedName name="Years">Lists!$B:$B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" i="1" l="1"/>
  <c r="W15" i="1"/>
  <c r="J8" i="19" l="1"/>
  <c r="Q36" i="1" l="1"/>
  <c r="Q35" i="1"/>
  <c r="Q30" i="1"/>
  <c r="Q29" i="1"/>
  <c r="Q28" i="1"/>
  <c r="Q23" i="1"/>
  <c r="Q22" i="1"/>
  <c r="Q21" i="1"/>
  <c r="Q16" i="1"/>
  <c r="Q15" i="1"/>
  <c r="Q14" i="1"/>
  <c r="S14" i="1" s="1"/>
  <c r="Q9" i="1"/>
  <c r="Q8" i="1"/>
  <c r="Q7" i="1"/>
  <c r="P36" i="1"/>
  <c r="P35" i="1"/>
  <c r="P30" i="1"/>
  <c r="P29" i="1"/>
  <c r="P28" i="1"/>
  <c r="P23" i="1"/>
  <c r="P22" i="1"/>
  <c r="P21" i="1"/>
  <c r="P15" i="1"/>
  <c r="P14" i="1"/>
  <c r="P9" i="1"/>
  <c r="P8" i="1"/>
  <c r="P7" i="1"/>
  <c r="S7" i="1" l="1"/>
  <c r="W7" i="1" s="1"/>
  <c r="Q34" i="1"/>
  <c r="Q33" i="1"/>
  <c r="Q32" i="1"/>
  <c r="Q27" i="1"/>
  <c r="Q26" i="1"/>
  <c r="Q25" i="1"/>
  <c r="Q20" i="1"/>
  <c r="Q19" i="1"/>
  <c r="Q18" i="1"/>
  <c r="Q13" i="1"/>
  <c r="Q12" i="1"/>
  <c r="Q11" i="1"/>
  <c r="Q6" i="1"/>
  <c r="S6" i="1" s="1"/>
  <c r="P18" i="1"/>
  <c r="P11" i="1"/>
  <c r="P6" i="1"/>
  <c r="H8" i="19" l="1"/>
  <c r="I8" i="19"/>
  <c r="H14" i="19"/>
  <c r="I14" i="19"/>
  <c r="H15" i="19"/>
  <c r="I15" i="19"/>
  <c r="H21" i="19"/>
  <c r="I21" i="19"/>
  <c r="H22" i="19"/>
  <c r="I22" i="19"/>
  <c r="H28" i="19"/>
  <c r="I28" i="19"/>
  <c r="H29" i="19"/>
  <c r="I29" i="19"/>
  <c r="J28" i="19" l="1"/>
  <c r="J29" i="19"/>
  <c r="J22" i="19"/>
  <c r="J21" i="19"/>
  <c r="J15" i="19"/>
  <c r="J14" i="19"/>
  <c r="Q31" i="1"/>
  <c r="Q24" i="1"/>
  <c r="Q17" i="1"/>
  <c r="P32" i="1"/>
  <c r="P31" i="1"/>
  <c r="P25" i="1"/>
  <c r="P24" i="1"/>
  <c r="P17" i="1"/>
  <c r="P16" i="1"/>
  <c r="P10" i="1"/>
  <c r="S11" i="1"/>
  <c r="W11" i="1" s="1"/>
  <c r="Q10" i="1"/>
  <c r="S10" i="1" s="1"/>
  <c r="W10" i="1" s="1"/>
  <c r="S9" i="1"/>
  <c r="W9" i="1" s="1"/>
  <c r="T9" i="1"/>
  <c r="AA9" i="1"/>
  <c r="T10" i="1"/>
  <c r="D11" i="1"/>
  <c r="F11" i="1"/>
  <c r="H11" i="1"/>
  <c r="I11" i="1"/>
  <c r="T11" i="1"/>
  <c r="S16" i="1"/>
  <c r="W16" i="1" s="1"/>
  <c r="T16" i="1"/>
  <c r="AA16" i="1"/>
  <c r="T17" i="1"/>
  <c r="D18" i="1"/>
  <c r="F18" i="1"/>
  <c r="H18" i="1"/>
  <c r="I18" i="1"/>
  <c r="S18" i="1"/>
  <c r="W18" i="1" s="1"/>
  <c r="T18" i="1"/>
  <c r="H35" i="16"/>
  <c r="H34" i="16"/>
  <c r="H33" i="16"/>
  <c r="H32" i="16"/>
  <c r="H28" i="16"/>
  <c r="H27" i="16"/>
  <c r="H26" i="16"/>
  <c r="H25" i="16"/>
  <c r="H21" i="16"/>
  <c r="H20" i="16"/>
  <c r="H19" i="16"/>
  <c r="H18" i="16"/>
  <c r="H14" i="16"/>
  <c r="H13" i="16"/>
  <c r="H12" i="16"/>
  <c r="H11" i="16"/>
  <c r="H7" i="16"/>
  <c r="M37" i="16"/>
  <c r="J37" i="15"/>
  <c r="E37" i="15"/>
  <c r="J37" i="14"/>
  <c r="E37" i="14"/>
  <c r="E37" i="11"/>
  <c r="J37" i="11"/>
  <c r="E37" i="13"/>
  <c r="J37" i="13"/>
  <c r="E37" i="12"/>
  <c r="J37" i="12"/>
  <c r="J37" i="10"/>
  <c r="E37" i="10"/>
  <c r="N37" i="16"/>
  <c r="L37" i="16"/>
  <c r="K37" i="16"/>
  <c r="J37" i="16"/>
  <c r="I37" i="16"/>
  <c r="L37" i="9"/>
  <c r="J37" i="9"/>
  <c r="L37" i="8"/>
  <c r="J37" i="8"/>
  <c r="E37" i="8"/>
  <c r="L37" i="17"/>
  <c r="K37" i="17"/>
  <c r="J37" i="17"/>
  <c r="I37" i="17"/>
  <c r="H37" i="17"/>
  <c r="F35" i="17"/>
  <c r="F34" i="17"/>
  <c r="F33" i="17"/>
  <c r="F32" i="17"/>
  <c r="F28" i="17"/>
  <c r="F27" i="17"/>
  <c r="F26" i="17"/>
  <c r="F25" i="17"/>
  <c r="F21" i="17"/>
  <c r="F20" i="17"/>
  <c r="F19" i="17"/>
  <c r="F18" i="17"/>
  <c r="F14" i="17"/>
  <c r="F13" i="17"/>
  <c r="F12" i="17"/>
  <c r="F11" i="17"/>
  <c r="F7" i="17"/>
  <c r="I35" i="1"/>
  <c r="I34" i="1"/>
  <c r="I33" i="1"/>
  <c r="I32" i="1"/>
  <c r="I28" i="1"/>
  <c r="I27" i="1"/>
  <c r="I26" i="1"/>
  <c r="I25" i="1"/>
  <c r="I21" i="1"/>
  <c r="I20" i="1"/>
  <c r="I19" i="1"/>
  <c r="I14" i="1"/>
  <c r="I13" i="1"/>
  <c r="I12" i="1"/>
  <c r="I7" i="1"/>
  <c r="H35" i="1"/>
  <c r="H34" i="1"/>
  <c r="H33" i="1"/>
  <c r="H32" i="1"/>
  <c r="H28" i="1"/>
  <c r="H27" i="1"/>
  <c r="H26" i="1"/>
  <c r="H25" i="1"/>
  <c r="H21" i="1"/>
  <c r="H20" i="1"/>
  <c r="H19" i="1"/>
  <c r="H14" i="1"/>
  <c r="H13" i="1"/>
  <c r="H12" i="1"/>
  <c r="H7" i="1"/>
  <c r="V37" i="1"/>
  <c r="K38" i="19"/>
  <c r="B39" i="11"/>
  <c r="B39" i="13"/>
  <c r="B39" i="12"/>
  <c r="B39" i="10"/>
  <c r="B39" i="16"/>
  <c r="B39" i="15"/>
  <c r="L38" i="15" s="1"/>
  <c r="B39" i="14"/>
  <c r="B39" i="9"/>
  <c r="L38" i="9" s="1"/>
  <c r="B39" i="8"/>
  <c r="B39" i="17"/>
  <c r="B40" i="19"/>
  <c r="J38" i="11" l="1"/>
  <c r="J38" i="12"/>
  <c r="S17" i="1"/>
  <c r="W17" i="1" s="1"/>
  <c r="X17" i="1" s="1"/>
  <c r="J38" i="10"/>
  <c r="J38" i="16"/>
  <c r="L38" i="8"/>
  <c r="J38" i="17"/>
  <c r="K39" i="19"/>
  <c r="K38" i="17"/>
  <c r="E38" i="12"/>
  <c r="M38" i="16"/>
  <c r="L38" i="17"/>
  <c r="K38" i="16"/>
  <c r="L38" i="16"/>
  <c r="E38" i="14"/>
  <c r="N38" i="16"/>
  <c r="J38" i="14"/>
  <c r="J38" i="8"/>
  <c r="E38" i="13"/>
  <c r="J38" i="13"/>
  <c r="E38" i="8"/>
  <c r="E38" i="10"/>
  <c r="E38" i="15"/>
  <c r="H38" i="17"/>
  <c r="J38" i="9"/>
  <c r="J38" i="15"/>
  <c r="I38" i="17"/>
  <c r="E38" i="11"/>
  <c r="X11" i="1"/>
  <c r="Z10" i="1"/>
  <c r="X10" i="1"/>
  <c r="Y10" i="1"/>
  <c r="Y9" i="1"/>
  <c r="Z9" i="1"/>
  <c r="X9" i="1"/>
  <c r="AA10" i="1"/>
  <c r="Z11" i="1"/>
  <c r="Y17" i="1"/>
  <c r="Z17" i="1"/>
  <c r="X16" i="1"/>
  <c r="Y16" i="1"/>
  <c r="Z16" i="1"/>
  <c r="Z18" i="1"/>
  <c r="X18" i="1"/>
  <c r="AA17" i="1"/>
  <c r="H37" i="16"/>
  <c r="H38" i="16" s="1"/>
  <c r="I38" i="16"/>
  <c r="J37" i="1"/>
  <c r="J38" i="1" s="1"/>
  <c r="G37" i="1"/>
  <c r="G38" i="1" l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5" i="1"/>
  <c r="T14" i="1"/>
  <c r="T13" i="1"/>
  <c r="T12" i="1"/>
  <c r="T8" i="1"/>
  <c r="T7" i="1"/>
  <c r="T6" i="1"/>
  <c r="W6" i="1" s="1"/>
  <c r="P34" i="1"/>
  <c r="P33" i="1"/>
  <c r="P27" i="1"/>
  <c r="P26" i="1"/>
  <c r="P20" i="1"/>
  <c r="P19" i="1"/>
  <c r="P13" i="1"/>
  <c r="P12" i="1"/>
  <c r="Q38" i="19"/>
  <c r="AA36" i="1"/>
  <c r="AA24" i="1"/>
  <c r="R39" i="19"/>
  <c r="P39" i="19"/>
  <c r="O39" i="19"/>
  <c r="N39" i="19"/>
  <c r="M39" i="19"/>
  <c r="L39" i="19"/>
  <c r="G39" i="19"/>
  <c r="F39" i="19"/>
  <c r="E39" i="19"/>
  <c r="D39" i="19"/>
  <c r="C39" i="19"/>
  <c r="B39" i="19"/>
  <c r="I36" i="19"/>
  <c r="L35" i="1" s="1"/>
  <c r="AA35" i="1" s="1"/>
  <c r="H36" i="19"/>
  <c r="K35" i="1" s="1"/>
  <c r="I35" i="19"/>
  <c r="H35" i="19"/>
  <c r="I34" i="19"/>
  <c r="L33" i="1" s="1"/>
  <c r="AA33" i="1" s="1"/>
  <c r="H34" i="19"/>
  <c r="K33" i="1" s="1"/>
  <c r="I33" i="19"/>
  <c r="L32" i="1" s="1"/>
  <c r="AA32" i="1" s="1"/>
  <c r="H33" i="19"/>
  <c r="K32" i="1" s="1"/>
  <c r="AA31" i="1"/>
  <c r="AA30" i="1"/>
  <c r="AA29" i="1"/>
  <c r="K28" i="1"/>
  <c r="L27" i="1"/>
  <c r="AA27" i="1" s="1"/>
  <c r="K27" i="1"/>
  <c r="I27" i="19"/>
  <c r="L26" i="1" s="1"/>
  <c r="AA26" i="1" s="1"/>
  <c r="H27" i="19"/>
  <c r="K26" i="1" s="1"/>
  <c r="I26" i="19"/>
  <c r="L25" i="1" s="1"/>
  <c r="AA25" i="1" s="1"/>
  <c r="H26" i="19"/>
  <c r="K25" i="1" s="1"/>
  <c r="AA23" i="1"/>
  <c r="L21" i="1"/>
  <c r="AA21" i="1" s="1"/>
  <c r="K21" i="1"/>
  <c r="L20" i="1"/>
  <c r="AA20" i="1" s="1"/>
  <c r="K20" i="1"/>
  <c r="I20" i="19"/>
  <c r="L19" i="1" s="1"/>
  <c r="AA19" i="1" s="1"/>
  <c r="H20" i="19"/>
  <c r="K19" i="1" s="1"/>
  <c r="I19" i="19"/>
  <c r="L18" i="1" s="1"/>
  <c r="H19" i="19"/>
  <c r="K18" i="1" s="1"/>
  <c r="AA15" i="1"/>
  <c r="L14" i="1"/>
  <c r="AA14" i="1" s="1"/>
  <c r="K14" i="1"/>
  <c r="L13" i="1"/>
  <c r="AA13" i="1" s="1"/>
  <c r="K13" i="1"/>
  <c r="I13" i="19"/>
  <c r="L12" i="1" s="1"/>
  <c r="AA12" i="1" s="1"/>
  <c r="H13" i="19"/>
  <c r="K12" i="1" s="1"/>
  <c r="I12" i="19"/>
  <c r="L11" i="1" s="1"/>
  <c r="H12" i="19"/>
  <c r="K11" i="1" s="1"/>
  <c r="AA8" i="1"/>
  <c r="K7" i="1"/>
  <c r="L38" i="19"/>
  <c r="M38" i="19"/>
  <c r="R38" i="19"/>
  <c r="P38" i="19"/>
  <c r="O38" i="19"/>
  <c r="N38" i="19"/>
  <c r="G38" i="19"/>
  <c r="F38" i="19"/>
  <c r="E38" i="19"/>
  <c r="D38" i="19"/>
  <c r="C38" i="19"/>
  <c r="B38" i="19"/>
  <c r="C2" i="19"/>
  <c r="B2" i="19"/>
  <c r="J35" i="19" l="1"/>
  <c r="J36" i="19"/>
  <c r="K34" i="1"/>
  <c r="J34" i="19"/>
  <c r="J26" i="19"/>
  <c r="M18" i="1"/>
  <c r="O18" i="1"/>
  <c r="AA18" i="1"/>
  <c r="Y18" i="1"/>
  <c r="M11" i="1"/>
  <c r="AA11" i="1"/>
  <c r="O11" i="1"/>
  <c r="Y11" i="1"/>
  <c r="J13" i="19"/>
  <c r="J12" i="19"/>
  <c r="J33" i="19"/>
  <c r="J27" i="19"/>
  <c r="I39" i="19"/>
  <c r="J19" i="19"/>
  <c r="J20" i="19"/>
  <c r="Q37" i="1"/>
  <c r="S20" i="1"/>
  <c r="W20" i="1" s="1"/>
  <c r="S33" i="1"/>
  <c r="W33" i="1" s="1"/>
  <c r="S26" i="1"/>
  <c r="W26" i="1" s="1"/>
  <c r="S23" i="1"/>
  <c r="W23" i="1" s="1"/>
  <c r="S21" i="1"/>
  <c r="W21" i="1" s="1"/>
  <c r="S15" i="1"/>
  <c r="W14" i="1"/>
  <c r="S13" i="1"/>
  <c r="W13" i="1" s="1"/>
  <c r="S12" i="1"/>
  <c r="W12" i="1" s="1"/>
  <c r="L28" i="1"/>
  <c r="AA28" i="1" s="1"/>
  <c r="L7" i="1"/>
  <c r="AA7" i="1" s="1"/>
  <c r="L34" i="1"/>
  <c r="AA34" i="1" s="1"/>
  <c r="AA6" i="1"/>
  <c r="H39" i="19"/>
  <c r="S30" i="1"/>
  <c r="W30" i="1" s="1"/>
  <c r="H38" i="19"/>
  <c r="S8" i="1"/>
  <c r="W8" i="1" s="1"/>
  <c r="S32" i="1"/>
  <c r="W32" i="1" s="1"/>
  <c r="S22" i="1"/>
  <c r="W22" i="1" s="1"/>
  <c r="S34" i="1"/>
  <c r="W34" i="1" s="1"/>
  <c r="O13" i="1"/>
  <c r="S24" i="1"/>
  <c r="W24" i="1" s="1"/>
  <c r="S28" i="1"/>
  <c r="W28" i="1" s="1"/>
  <c r="S27" i="1"/>
  <c r="W27" i="1" s="1"/>
  <c r="S31" i="1"/>
  <c r="W31" i="1" s="1"/>
  <c r="S36" i="1"/>
  <c r="W36" i="1" s="1"/>
  <c r="S25" i="1"/>
  <c r="W25" i="1" s="1"/>
  <c r="S29" i="1"/>
  <c r="W29" i="1" s="1"/>
  <c r="S19" i="1"/>
  <c r="W19" i="1" s="1"/>
  <c r="S35" i="1"/>
  <c r="W35" i="1" s="1"/>
  <c r="I38" i="19"/>
  <c r="P37" i="1"/>
  <c r="M37" i="17"/>
  <c r="M38" i="17" s="1"/>
  <c r="O37" i="16"/>
  <c r="O38" i="16" s="1"/>
  <c r="F36" i="15"/>
  <c r="D36" i="15"/>
  <c r="F35" i="15"/>
  <c r="D35" i="15"/>
  <c r="F34" i="15"/>
  <c r="D34" i="15"/>
  <c r="F33" i="15"/>
  <c r="D33" i="15"/>
  <c r="F32" i="15"/>
  <c r="D32" i="15"/>
  <c r="F31" i="15"/>
  <c r="D31" i="15"/>
  <c r="F30" i="15"/>
  <c r="D30" i="15"/>
  <c r="F29" i="15"/>
  <c r="D29" i="15"/>
  <c r="F28" i="15"/>
  <c r="D28" i="15"/>
  <c r="F27" i="15"/>
  <c r="D27" i="15"/>
  <c r="F26" i="15"/>
  <c r="D26" i="15"/>
  <c r="F25" i="15"/>
  <c r="D25" i="15"/>
  <c r="F24" i="15"/>
  <c r="D24" i="15"/>
  <c r="F23" i="15"/>
  <c r="D23" i="15"/>
  <c r="F22" i="15"/>
  <c r="D22" i="15"/>
  <c r="F21" i="15"/>
  <c r="D21" i="15"/>
  <c r="F20" i="15"/>
  <c r="D20" i="15"/>
  <c r="F19" i="15"/>
  <c r="D19" i="15"/>
  <c r="F18" i="15"/>
  <c r="D18" i="15"/>
  <c r="F17" i="15"/>
  <c r="D17" i="15"/>
  <c r="F16" i="15"/>
  <c r="D16" i="15"/>
  <c r="F15" i="15"/>
  <c r="D15" i="15"/>
  <c r="F14" i="15"/>
  <c r="D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35" i="14"/>
  <c r="D35" i="14"/>
  <c r="F34" i="14"/>
  <c r="D34" i="14"/>
  <c r="F33" i="14"/>
  <c r="D33" i="14"/>
  <c r="F32" i="14"/>
  <c r="D32" i="14"/>
  <c r="F28" i="14"/>
  <c r="D28" i="14"/>
  <c r="F27" i="14"/>
  <c r="D27" i="14"/>
  <c r="F26" i="14"/>
  <c r="D26" i="14"/>
  <c r="F25" i="14"/>
  <c r="D25" i="14"/>
  <c r="F21" i="14"/>
  <c r="D21" i="14"/>
  <c r="F20" i="14"/>
  <c r="D20" i="14"/>
  <c r="F19" i="14"/>
  <c r="D19" i="14"/>
  <c r="F18" i="14"/>
  <c r="D18" i="14"/>
  <c r="F14" i="14"/>
  <c r="D14" i="14"/>
  <c r="F13" i="14"/>
  <c r="D13" i="14"/>
  <c r="F12" i="14"/>
  <c r="D12" i="14"/>
  <c r="F11" i="14"/>
  <c r="D11" i="14"/>
  <c r="F7" i="14"/>
  <c r="D7" i="14"/>
  <c r="F35" i="13"/>
  <c r="D35" i="13"/>
  <c r="F34" i="13"/>
  <c r="D34" i="13"/>
  <c r="F33" i="13"/>
  <c r="D33" i="13"/>
  <c r="F32" i="13"/>
  <c r="D32" i="13"/>
  <c r="F28" i="13"/>
  <c r="D28" i="13"/>
  <c r="F27" i="13"/>
  <c r="D27" i="13"/>
  <c r="F26" i="13"/>
  <c r="D26" i="13"/>
  <c r="F25" i="13"/>
  <c r="D25" i="13"/>
  <c r="F21" i="13"/>
  <c r="D21" i="13"/>
  <c r="F20" i="13"/>
  <c r="D20" i="13"/>
  <c r="F19" i="13"/>
  <c r="D19" i="13"/>
  <c r="F18" i="13"/>
  <c r="D18" i="13"/>
  <c r="F14" i="13"/>
  <c r="D14" i="13"/>
  <c r="F13" i="13"/>
  <c r="D13" i="13"/>
  <c r="F12" i="13"/>
  <c r="D12" i="13"/>
  <c r="F11" i="13"/>
  <c r="D11" i="13"/>
  <c r="F7" i="13"/>
  <c r="D7" i="13"/>
  <c r="F35" i="12"/>
  <c r="D35" i="12"/>
  <c r="F34" i="12"/>
  <c r="D34" i="12"/>
  <c r="F33" i="12"/>
  <c r="D33" i="12"/>
  <c r="F32" i="12"/>
  <c r="D32" i="12"/>
  <c r="F28" i="12"/>
  <c r="D28" i="12"/>
  <c r="F27" i="12"/>
  <c r="D27" i="12"/>
  <c r="F26" i="12"/>
  <c r="D26" i="12"/>
  <c r="F25" i="12"/>
  <c r="D25" i="12"/>
  <c r="F21" i="12"/>
  <c r="D21" i="12"/>
  <c r="F20" i="12"/>
  <c r="D20" i="12"/>
  <c r="F19" i="12"/>
  <c r="D19" i="12"/>
  <c r="F18" i="12"/>
  <c r="D18" i="12"/>
  <c r="F14" i="12"/>
  <c r="D14" i="12"/>
  <c r="F13" i="12"/>
  <c r="D13" i="12"/>
  <c r="F12" i="12"/>
  <c r="D12" i="12"/>
  <c r="F11" i="12"/>
  <c r="D11" i="12"/>
  <c r="F7" i="12"/>
  <c r="D7" i="12"/>
  <c r="F35" i="11"/>
  <c r="D35" i="11"/>
  <c r="F34" i="11"/>
  <c r="D34" i="11"/>
  <c r="F33" i="11"/>
  <c r="D33" i="11"/>
  <c r="F32" i="11"/>
  <c r="D32" i="11"/>
  <c r="F28" i="11"/>
  <c r="D28" i="11"/>
  <c r="F27" i="11"/>
  <c r="D27" i="11"/>
  <c r="F26" i="11"/>
  <c r="D26" i="11"/>
  <c r="F25" i="11"/>
  <c r="D25" i="11"/>
  <c r="F21" i="11"/>
  <c r="D21" i="11"/>
  <c r="F20" i="11"/>
  <c r="D20" i="11"/>
  <c r="F19" i="11"/>
  <c r="D19" i="11"/>
  <c r="F18" i="11"/>
  <c r="D18" i="11"/>
  <c r="F14" i="11"/>
  <c r="D14" i="11"/>
  <c r="F13" i="11"/>
  <c r="D13" i="11"/>
  <c r="F12" i="11"/>
  <c r="D12" i="11"/>
  <c r="F11" i="11"/>
  <c r="D11" i="11"/>
  <c r="F7" i="11"/>
  <c r="D7" i="11"/>
  <c r="F35" i="10"/>
  <c r="D35" i="10"/>
  <c r="F34" i="10"/>
  <c r="D34" i="10"/>
  <c r="F33" i="10"/>
  <c r="D33" i="10"/>
  <c r="F32" i="10"/>
  <c r="D32" i="10"/>
  <c r="F28" i="10"/>
  <c r="D28" i="10"/>
  <c r="F27" i="10"/>
  <c r="D27" i="10"/>
  <c r="F26" i="10"/>
  <c r="D26" i="10"/>
  <c r="F25" i="10"/>
  <c r="D25" i="10"/>
  <c r="F21" i="10"/>
  <c r="D21" i="10"/>
  <c r="F20" i="10"/>
  <c r="D20" i="10"/>
  <c r="F19" i="10"/>
  <c r="D19" i="10"/>
  <c r="F18" i="10"/>
  <c r="D18" i="10"/>
  <c r="F14" i="10"/>
  <c r="D14" i="10"/>
  <c r="F13" i="10"/>
  <c r="D13" i="10"/>
  <c r="F12" i="10"/>
  <c r="D12" i="10"/>
  <c r="F11" i="10"/>
  <c r="D11" i="10"/>
  <c r="F7" i="10"/>
  <c r="D7" i="10"/>
  <c r="D35" i="17"/>
  <c r="D34" i="17"/>
  <c r="D33" i="17"/>
  <c r="D32" i="17"/>
  <c r="D28" i="17"/>
  <c r="D27" i="17"/>
  <c r="D26" i="17"/>
  <c r="D25" i="17"/>
  <c r="D21" i="17"/>
  <c r="D20" i="17"/>
  <c r="D19" i="17"/>
  <c r="D18" i="17"/>
  <c r="D14" i="17"/>
  <c r="D13" i="17"/>
  <c r="D12" i="17"/>
  <c r="D11" i="17"/>
  <c r="D7" i="17"/>
  <c r="D35" i="16"/>
  <c r="D34" i="16"/>
  <c r="D33" i="16"/>
  <c r="D32" i="16"/>
  <c r="D28" i="16"/>
  <c r="D27" i="16"/>
  <c r="D26" i="16"/>
  <c r="D25" i="16"/>
  <c r="D21" i="16"/>
  <c r="D20" i="16"/>
  <c r="D19" i="16"/>
  <c r="D18" i="16"/>
  <c r="D14" i="16"/>
  <c r="D13" i="16"/>
  <c r="D12" i="16"/>
  <c r="D11" i="16"/>
  <c r="D7" i="16"/>
  <c r="F35" i="9"/>
  <c r="D35" i="9"/>
  <c r="F34" i="9"/>
  <c r="D34" i="9"/>
  <c r="F33" i="9"/>
  <c r="D33" i="9"/>
  <c r="F32" i="9"/>
  <c r="D32" i="9"/>
  <c r="F28" i="9"/>
  <c r="D28" i="9"/>
  <c r="F27" i="9"/>
  <c r="D27" i="9"/>
  <c r="F26" i="9"/>
  <c r="D26" i="9"/>
  <c r="F25" i="9"/>
  <c r="D25" i="9"/>
  <c r="F21" i="9"/>
  <c r="D21" i="9"/>
  <c r="F20" i="9"/>
  <c r="D20" i="9"/>
  <c r="F19" i="9"/>
  <c r="D19" i="9"/>
  <c r="F18" i="9"/>
  <c r="D18" i="9"/>
  <c r="F14" i="9"/>
  <c r="D14" i="9"/>
  <c r="F13" i="9"/>
  <c r="D13" i="9"/>
  <c r="F12" i="9"/>
  <c r="D12" i="9"/>
  <c r="F11" i="9"/>
  <c r="D11" i="9"/>
  <c r="F7" i="9"/>
  <c r="D7" i="9"/>
  <c r="F35" i="8"/>
  <c r="D35" i="8"/>
  <c r="F34" i="8"/>
  <c r="D34" i="8"/>
  <c r="F33" i="8"/>
  <c r="D33" i="8"/>
  <c r="F32" i="8"/>
  <c r="D32" i="8"/>
  <c r="F28" i="8"/>
  <c r="D28" i="8"/>
  <c r="F27" i="8"/>
  <c r="D27" i="8"/>
  <c r="F26" i="8"/>
  <c r="D26" i="8"/>
  <c r="F25" i="8"/>
  <c r="D25" i="8"/>
  <c r="F21" i="8"/>
  <c r="D21" i="8"/>
  <c r="F20" i="8"/>
  <c r="D20" i="8"/>
  <c r="F19" i="8"/>
  <c r="D19" i="8"/>
  <c r="F18" i="8"/>
  <c r="D18" i="8"/>
  <c r="F14" i="8"/>
  <c r="D14" i="8"/>
  <c r="F13" i="8"/>
  <c r="D13" i="8"/>
  <c r="F12" i="8"/>
  <c r="D12" i="8"/>
  <c r="F11" i="8"/>
  <c r="D11" i="8"/>
  <c r="F7" i="8"/>
  <c r="D7" i="8"/>
  <c r="O35" i="1"/>
  <c r="M35" i="1"/>
  <c r="O33" i="1"/>
  <c r="M33" i="1"/>
  <c r="O32" i="1"/>
  <c r="M32" i="1"/>
  <c r="O27" i="1"/>
  <c r="M27" i="1"/>
  <c r="O26" i="1"/>
  <c r="M26" i="1"/>
  <c r="O25" i="1"/>
  <c r="M25" i="1"/>
  <c r="O21" i="1"/>
  <c r="M21" i="1"/>
  <c r="O20" i="1"/>
  <c r="M20" i="1"/>
  <c r="O19" i="1"/>
  <c r="M19" i="1"/>
  <c r="O14" i="1"/>
  <c r="M14" i="1"/>
  <c r="O12" i="1"/>
  <c r="M12" i="1"/>
  <c r="F35" i="1"/>
  <c r="D35" i="1"/>
  <c r="F34" i="1"/>
  <c r="D34" i="1"/>
  <c r="F33" i="1"/>
  <c r="D33" i="1"/>
  <c r="F32" i="1"/>
  <c r="D32" i="1"/>
  <c r="F28" i="1"/>
  <c r="D28" i="1"/>
  <c r="F27" i="1"/>
  <c r="D27" i="1"/>
  <c r="F26" i="1"/>
  <c r="D26" i="1"/>
  <c r="F25" i="1"/>
  <c r="D25" i="1"/>
  <c r="F21" i="1"/>
  <c r="D21" i="1"/>
  <c r="F20" i="1"/>
  <c r="D20" i="1"/>
  <c r="F19" i="1"/>
  <c r="D19" i="1"/>
  <c r="F14" i="1"/>
  <c r="D14" i="1"/>
  <c r="F13" i="1"/>
  <c r="D13" i="1"/>
  <c r="F12" i="1"/>
  <c r="D12" i="1"/>
  <c r="F7" i="1"/>
  <c r="D7" i="1"/>
  <c r="C2" i="15"/>
  <c r="B2" i="15"/>
  <c r="C2" i="14"/>
  <c r="B2" i="14"/>
  <c r="C2" i="13"/>
  <c r="B2" i="13"/>
  <c r="C2" i="12"/>
  <c r="B2" i="12"/>
  <c r="C2" i="11"/>
  <c r="B2" i="11"/>
  <c r="C2" i="10"/>
  <c r="B2" i="10"/>
  <c r="C2" i="17"/>
  <c r="B2" i="17"/>
  <c r="C2" i="16"/>
  <c r="B2" i="16"/>
  <c r="C2" i="9"/>
  <c r="B2" i="9"/>
  <c r="C2" i="8"/>
  <c r="B2" i="8"/>
  <c r="C37" i="17"/>
  <c r="B37" i="17"/>
  <c r="B38" i="17" s="1"/>
  <c r="E37" i="17"/>
  <c r="E38" i="17" s="1"/>
  <c r="C37" i="16"/>
  <c r="B37" i="16"/>
  <c r="B38" i="16" s="1"/>
  <c r="E37" i="16"/>
  <c r="E38" i="16" s="1"/>
  <c r="L37" i="15"/>
  <c r="C37" i="15"/>
  <c r="B37" i="15"/>
  <c r="B38" i="15" s="1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G37" i="15"/>
  <c r="G38" i="15" s="1"/>
  <c r="F6" i="15"/>
  <c r="D6" i="15"/>
  <c r="L37" i="14"/>
  <c r="L38" i="14" s="1"/>
  <c r="C37" i="14"/>
  <c r="B37" i="14"/>
  <c r="B38" i="14" s="1"/>
  <c r="K35" i="14"/>
  <c r="K34" i="14"/>
  <c r="K33" i="14"/>
  <c r="K32" i="14"/>
  <c r="K28" i="14"/>
  <c r="K27" i="14"/>
  <c r="K26" i="14"/>
  <c r="K25" i="14"/>
  <c r="K21" i="14"/>
  <c r="K20" i="14"/>
  <c r="K19" i="14"/>
  <c r="K18" i="14"/>
  <c r="K14" i="14"/>
  <c r="K13" i="14"/>
  <c r="K12" i="14"/>
  <c r="K11" i="14"/>
  <c r="K7" i="14"/>
  <c r="G37" i="14"/>
  <c r="G38" i="14" s="1"/>
  <c r="K37" i="13"/>
  <c r="K38" i="13" s="1"/>
  <c r="C37" i="13"/>
  <c r="B37" i="13"/>
  <c r="B38" i="13" s="1"/>
  <c r="G37" i="13"/>
  <c r="G38" i="13" s="1"/>
  <c r="K37" i="12"/>
  <c r="K38" i="12" s="1"/>
  <c r="C37" i="12"/>
  <c r="B37" i="12"/>
  <c r="B38" i="12" s="1"/>
  <c r="G37" i="12"/>
  <c r="G38" i="12" s="1"/>
  <c r="K37" i="11"/>
  <c r="K38" i="11" s="1"/>
  <c r="C37" i="11"/>
  <c r="B37" i="11"/>
  <c r="B38" i="11" s="1"/>
  <c r="G37" i="11"/>
  <c r="G38" i="11" s="1"/>
  <c r="K37" i="10"/>
  <c r="K38" i="10" s="1"/>
  <c r="C37" i="10"/>
  <c r="B37" i="10"/>
  <c r="B38" i="10" s="1"/>
  <c r="G37" i="10"/>
  <c r="G38" i="10" s="1"/>
  <c r="Q37" i="9"/>
  <c r="P37" i="9"/>
  <c r="O37" i="9"/>
  <c r="N37" i="9"/>
  <c r="C37" i="9"/>
  <c r="B37" i="9"/>
  <c r="B38" i="9" s="1"/>
  <c r="M35" i="9"/>
  <c r="K35" i="9"/>
  <c r="M34" i="9"/>
  <c r="K34" i="9"/>
  <c r="M33" i="9"/>
  <c r="K33" i="9"/>
  <c r="M32" i="9"/>
  <c r="K32" i="9"/>
  <c r="M28" i="9"/>
  <c r="K28" i="9"/>
  <c r="M27" i="9"/>
  <c r="K27" i="9"/>
  <c r="M26" i="9"/>
  <c r="K26" i="9"/>
  <c r="M25" i="9"/>
  <c r="K25" i="9"/>
  <c r="M21" i="9"/>
  <c r="K21" i="9"/>
  <c r="M20" i="9"/>
  <c r="K20" i="9"/>
  <c r="M19" i="9"/>
  <c r="K19" i="9"/>
  <c r="M18" i="9"/>
  <c r="K18" i="9"/>
  <c r="M14" i="9"/>
  <c r="K14" i="9"/>
  <c r="M13" i="9"/>
  <c r="K13" i="9"/>
  <c r="M12" i="9"/>
  <c r="K12" i="9"/>
  <c r="M11" i="9"/>
  <c r="K11" i="9"/>
  <c r="M7" i="9"/>
  <c r="K7" i="9"/>
  <c r="G37" i="9"/>
  <c r="G38" i="9" s="1"/>
  <c r="M35" i="8"/>
  <c r="K35" i="8"/>
  <c r="M34" i="8"/>
  <c r="K34" i="8"/>
  <c r="M33" i="8"/>
  <c r="K33" i="8"/>
  <c r="M32" i="8"/>
  <c r="K32" i="8"/>
  <c r="M28" i="8"/>
  <c r="K28" i="8"/>
  <c r="M27" i="8"/>
  <c r="K27" i="8"/>
  <c r="M26" i="8"/>
  <c r="K26" i="8"/>
  <c r="M25" i="8"/>
  <c r="K25" i="8"/>
  <c r="M21" i="8"/>
  <c r="K21" i="8"/>
  <c r="M20" i="8"/>
  <c r="K20" i="8"/>
  <c r="M19" i="8"/>
  <c r="K19" i="8"/>
  <c r="M18" i="8"/>
  <c r="K18" i="8"/>
  <c r="M14" i="8"/>
  <c r="K14" i="8"/>
  <c r="M13" i="8"/>
  <c r="K13" i="8"/>
  <c r="M12" i="8"/>
  <c r="K12" i="8"/>
  <c r="M11" i="8"/>
  <c r="K11" i="8"/>
  <c r="M7" i="8"/>
  <c r="K7" i="8"/>
  <c r="G37" i="8"/>
  <c r="G38" i="8" s="1"/>
  <c r="P37" i="8"/>
  <c r="O37" i="8"/>
  <c r="N37" i="8"/>
  <c r="B37" i="8"/>
  <c r="B38" i="8" s="1"/>
  <c r="W37" i="1" l="1"/>
  <c r="O7" i="1"/>
  <c r="Z21" i="1"/>
  <c r="Y19" i="1"/>
  <c r="Y32" i="1"/>
  <c r="X33" i="1"/>
  <c r="Z27" i="1"/>
  <c r="X15" i="1"/>
  <c r="Z34" i="1"/>
  <c r="Y23" i="1"/>
  <c r="Z29" i="1"/>
  <c r="X25" i="1"/>
  <c r="Z7" i="1"/>
  <c r="Y24" i="1"/>
  <c r="P38" i="1"/>
  <c r="Y8" i="1"/>
  <c r="Y36" i="1"/>
  <c r="Y20" i="1"/>
  <c r="O34" i="1"/>
  <c r="AA22" i="1"/>
  <c r="AA37" i="1" s="1"/>
  <c r="AA38" i="1" s="1"/>
  <c r="O28" i="1"/>
  <c r="M28" i="1"/>
  <c r="X32" i="1"/>
  <c r="M34" i="1"/>
  <c r="M7" i="1"/>
  <c r="M13" i="1"/>
  <c r="F37" i="17"/>
  <c r="G7" i="17"/>
  <c r="G11" i="17"/>
  <c r="G12" i="17"/>
  <c r="G13" i="17"/>
  <c r="G14" i="17"/>
  <c r="G18" i="17"/>
  <c r="G19" i="17"/>
  <c r="G20" i="17"/>
  <c r="G21" i="17"/>
  <c r="G25" i="17"/>
  <c r="G26" i="17"/>
  <c r="G27" i="17"/>
  <c r="G28" i="17"/>
  <c r="G32" i="17"/>
  <c r="G33" i="17"/>
  <c r="G34" i="17"/>
  <c r="G35" i="17"/>
  <c r="C38" i="17"/>
  <c r="D38" i="17" s="1"/>
  <c r="D37" i="17"/>
  <c r="F37" i="16"/>
  <c r="G7" i="16"/>
  <c r="G11" i="16"/>
  <c r="G12" i="16"/>
  <c r="G13" i="16"/>
  <c r="G14" i="16"/>
  <c r="G18" i="16"/>
  <c r="G19" i="16"/>
  <c r="G20" i="16"/>
  <c r="G21" i="16"/>
  <c r="G25" i="16"/>
  <c r="G26" i="16"/>
  <c r="G27" i="16"/>
  <c r="G28" i="16"/>
  <c r="G32" i="16"/>
  <c r="G33" i="16"/>
  <c r="G34" i="16"/>
  <c r="G35" i="16"/>
  <c r="C38" i="16"/>
  <c r="D38" i="16" s="1"/>
  <c r="D37" i="16"/>
  <c r="H37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C38" i="15"/>
  <c r="D38" i="15" s="1"/>
  <c r="D37" i="15"/>
  <c r="H37" i="14"/>
  <c r="I7" i="14"/>
  <c r="I11" i="14"/>
  <c r="I12" i="14"/>
  <c r="I13" i="14"/>
  <c r="I14" i="14"/>
  <c r="I18" i="14"/>
  <c r="I19" i="14"/>
  <c r="I20" i="14"/>
  <c r="I21" i="14"/>
  <c r="I25" i="14"/>
  <c r="I26" i="14"/>
  <c r="I27" i="14"/>
  <c r="I28" i="14"/>
  <c r="I32" i="14"/>
  <c r="I33" i="14"/>
  <c r="I34" i="14"/>
  <c r="I35" i="14"/>
  <c r="C38" i="14"/>
  <c r="D38" i="14" s="1"/>
  <c r="D37" i="14"/>
  <c r="H37" i="13"/>
  <c r="I7" i="13"/>
  <c r="I11" i="13"/>
  <c r="I12" i="13"/>
  <c r="I13" i="13"/>
  <c r="I14" i="13"/>
  <c r="I18" i="13"/>
  <c r="I19" i="13"/>
  <c r="I20" i="13"/>
  <c r="I21" i="13"/>
  <c r="I25" i="13"/>
  <c r="I26" i="13"/>
  <c r="I27" i="13"/>
  <c r="I28" i="13"/>
  <c r="I32" i="13"/>
  <c r="I33" i="13"/>
  <c r="I34" i="13"/>
  <c r="I35" i="13"/>
  <c r="C38" i="13"/>
  <c r="D38" i="13" s="1"/>
  <c r="D37" i="13"/>
  <c r="H37" i="12"/>
  <c r="I7" i="12"/>
  <c r="I11" i="12"/>
  <c r="I12" i="12"/>
  <c r="I13" i="12"/>
  <c r="I14" i="12"/>
  <c r="I18" i="12"/>
  <c r="I19" i="12"/>
  <c r="I20" i="12"/>
  <c r="I21" i="12"/>
  <c r="I25" i="12"/>
  <c r="I26" i="12"/>
  <c r="I27" i="12"/>
  <c r="I28" i="12"/>
  <c r="I32" i="12"/>
  <c r="I33" i="12"/>
  <c r="I34" i="12"/>
  <c r="I35" i="12"/>
  <c r="C38" i="12"/>
  <c r="D38" i="12" s="1"/>
  <c r="D37" i="12"/>
  <c r="H37" i="11"/>
  <c r="I7" i="11"/>
  <c r="I11" i="11"/>
  <c r="I12" i="11"/>
  <c r="I13" i="11"/>
  <c r="I14" i="11"/>
  <c r="I18" i="11"/>
  <c r="I19" i="11"/>
  <c r="I20" i="11"/>
  <c r="I21" i="11"/>
  <c r="I25" i="11"/>
  <c r="I26" i="11"/>
  <c r="I27" i="11"/>
  <c r="I28" i="11"/>
  <c r="I32" i="11"/>
  <c r="I33" i="11"/>
  <c r="I34" i="11"/>
  <c r="I35" i="11"/>
  <c r="C38" i="11"/>
  <c r="D38" i="11" s="1"/>
  <c r="D37" i="11"/>
  <c r="H37" i="10"/>
  <c r="I7" i="10"/>
  <c r="I11" i="10"/>
  <c r="I12" i="10"/>
  <c r="I13" i="10"/>
  <c r="I14" i="10"/>
  <c r="I18" i="10"/>
  <c r="I19" i="10"/>
  <c r="I20" i="10"/>
  <c r="I21" i="10"/>
  <c r="I25" i="10"/>
  <c r="I26" i="10"/>
  <c r="I27" i="10"/>
  <c r="I28" i="10"/>
  <c r="I32" i="10"/>
  <c r="I33" i="10"/>
  <c r="I34" i="10"/>
  <c r="I35" i="10"/>
  <c r="C38" i="10"/>
  <c r="D38" i="10" s="1"/>
  <c r="D37" i="10"/>
  <c r="H37" i="9"/>
  <c r="I7" i="9"/>
  <c r="I11" i="9"/>
  <c r="I12" i="9"/>
  <c r="I13" i="9"/>
  <c r="I14" i="9"/>
  <c r="I18" i="9"/>
  <c r="I19" i="9"/>
  <c r="I20" i="9"/>
  <c r="I21" i="9"/>
  <c r="I25" i="9"/>
  <c r="I26" i="9"/>
  <c r="I27" i="9"/>
  <c r="I28" i="9"/>
  <c r="I32" i="9"/>
  <c r="I33" i="9"/>
  <c r="I34" i="9"/>
  <c r="I35" i="9"/>
  <c r="C38" i="9"/>
  <c r="D38" i="9" s="1"/>
  <c r="D37" i="9"/>
  <c r="I7" i="8"/>
  <c r="I11" i="8"/>
  <c r="I12" i="8"/>
  <c r="I13" i="8"/>
  <c r="I14" i="8"/>
  <c r="I18" i="8"/>
  <c r="I19" i="8"/>
  <c r="I20" i="8"/>
  <c r="I21" i="8"/>
  <c r="I25" i="8"/>
  <c r="I26" i="8"/>
  <c r="I27" i="8"/>
  <c r="I28" i="8"/>
  <c r="I32" i="8"/>
  <c r="I33" i="8"/>
  <c r="I34" i="8"/>
  <c r="I35" i="8"/>
  <c r="H37" i="8"/>
  <c r="Q37" i="8"/>
  <c r="C37" i="8"/>
  <c r="D37" i="8" s="1"/>
  <c r="Q38" i="1"/>
  <c r="L37" i="1"/>
  <c r="K37" i="1"/>
  <c r="K38" i="1" s="1"/>
  <c r="C38" i="8" l="1"/>
  <c r="D38" i="8" s="1"/>
  <c r="X36" i="1"/>
  <c r="Y34" i="1"/>
  <c r="X29" i="1"/>
  <c r="Z36" i="1"/>
  <c r="X8" i="1"/>
  <c r="Z8" i="1"/>
  <c r="Y7" i="1"/>
  <c r="Z23" i="1"/>
  <c r="X20" i="1"/>
  <c r="Z32" i="1"/>
  <c r="X7" i="1"/>
  <c r="Y29" i="1"/>
  <c r="Z19" i="1"/>
  <c r="X21" i="1"/>
  <c r="Z25" i="1"/>
  <c r="X23" i="1"/>
  <c r="Y25" i="1"/>
  <c r="Z20" i="1"/>
  <c r="Y21" i="1"/>
  <c r="Z26" i="1"/>
  <c r="Y26" i="1"/>
  <c r="X26" i="1"/>
  <c r="Y35" i="1"/>
  <c r="Z35" i="1"/>
  <c r="X35" i="1"/>
  <c r="X31" i="1"/>
  <c r="Y31" i="1"/>
  <c r="Z31" i="1"/>
  <c r="X30" i="1"/>
  <c r="Z30" i="1"/>
  <c r="Y30" i="1"/>
  <c r="Y22" i="1"/>
  <c r="Z22" i="1"/>
  <c r="X22" i="1"/>
  <c r="X12" i="1"/>
  <c r="Z12" i="1"/>
  <c r="Y12" i="1"/>
  <c r="Z13" i="1"/>
  <c r="Y13" i="1"/>
  <c r="X13" i="1"/>
  <c r="X28" i="1"/>
  <c r="Z28" i="1"/>
  <c r="Y28" i="1"/>
  <c r="Z14" i="1"/>
  <c r="Y14" i="1"/>
  <c r="X14" i="1"/>
  <c r="Y33" i="1"/>
  <c r="Z33" i="1"/>
  <c r="Y15" i="1"/>
  <c r="Z15" i="1"/>
  <c r="X27" i="1"/>
  <c r="Z24" i="1"/>
  <c r="X24" i="1"/>
  <c r="Y27" i="1"/>
  <c r="X19" i="1"/>
  <c r="Z6" i="1"/>
  <c r="Y6" i="1"/>
  <c r="F38" i="17"/>
  <c r="G38" i="17" s="1"/>
  <c r="G37" i="17"/>
  <c r="F38" i="16"/>
  <c r="G38" i="16" s="1"/>
  <c r="G37" i="16"/>
  <c r="H38" i="15"/>
  <c r="I38" i="15" s="1"/>
  <c r="I37" i="15"/>
  <c r="H38" i="14"/>
  <c r="I38" i="14" s="1"/>
  <c r="I37" i="14"/>
  <c r="H38" i="13"/>
  <c r="I38" i="13" s="1"/>
  <c r="I37" i="13"/>
  <c r="H38" i="12"/>
  <c r="I38" i="12" s="1"/>
  <c r="I37" i="12"/>
  <c r="H38" i="11"/>
  <c r="I38" i="11" s="1"/>
  <c r="I37" i="11"/>
  <c r="H38" i="10"/>
  <c r="I38" i="10" s="1"/>
  <c r="I37" i="10"/>
  <c r="H38" i="9"/>
  <c r="I38" i="9" s="1"/>
  <c r="I37" i="9"/>
  <c r="H38" i="8"/>
  <c r="I38" i="8" s="1"/>
  <c r="I37" i="8"/>
  <c r="R37" i="1"/>
  <c r="R38" i="1" s="1"/>
  <c r="S37" i="1"/>
  <c r="M37" i="1"/>
  <c r="E37" i="1"/>
  <c r="I37" i="1" s="1"/>
  <c r="I38" i="1" s="1"/>
  <c r="C37" i="1"/>
  <c r="H37" i="1" s="1"/>
  <c r="H38" i="1" s="1"/>
  <c r="B37" i="1"/>
  <c r="B38" i="1" s="1"/>
  <c r="L38" i="1"/>
  <c r="M38" i="1" s="1"/>
  <c r="Y37" i="1" l="1"/>
  <c r="Y38" i="1" s="1"/>
  <c r="Z37" i="1"/>
  <c r="Z38" i="1" s="1"/>
  <c r="S38" i="1"/>
  <c r="D37" i="1"/>
  <c r="N37" i="1"/>
  <c r="N38" i="1" s="1"/>
  <c r="O38" i="1" s="1"/>
  <c r="F37" i="1"/>
  <c r="E38" i="1"/>
  <c r="C38" i="1"/>
  <c r="D38" i="1" s="1"/>
  <c r="T37" i="1" l="1"/>
  <c r="O37" i="1"/>
  <c r="F38" i="1"/>
  <c r="T38" i="1" l="1"/>
  <c r="V38" i="1"/>
  <c r="U37" i="1"/>
  <c r="U38" i="1" s="1"/>
  <c r="X6" i="1" l="1"/>
  <c r="X37" i="1"/>
  <c r="W38" i="1" l="1"/>
  <c r="X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3" authorId="0" shapeId="0" xr:uid="{52D71C5E-0C9C-440A-9EDF-089448D3DC0D}">
      <text>
        <r>
          <rPr>
            <sz val="10"/>
            <color rgb="FF000000"/>
            <rFont val="Arial"/>
            <family val="2"/>
          </rPr>
          <t xml:space="preserve">This column refers to the amount of money collected for patient supplies (i.e. supports, pillows, orthotics, home traction devices, etc.).
</t>
        </r>
      </text>
    </comment>
    <comment ref="P4" authorId="0" shapeId="0" xr:uid="{12CDF9F6-34FB-46BA-8AE7-547C4D68519F}">
      <text>
        <r>
          <rPr>
            <sz val="10"/>
            <color rgb="FF000000"/>
            <rFont val="Arial"/>
            <family val="2"/>
          </rPr>
          <t xml:space="preserve">This column refers to the amount of money collected for patient supplies (i.e. supports, pillows, orthotics, home traction devices, etc.).
</t>
        </r>
      </text>
    </comment>
    <comment ref="Q4" authorId="0" shapeId="0" xr:uid="{0C4ACE61-A03C-4C44-86BC-A698A6279E74}">
      <text>
        <r>
          <rPr>
            <sz val="10"/>
            <color rgb="FF000000"/>
            <rFont val="Arial"/>
            <family val="2"/>
          </rPr>
          <t xml:space="preserve">This column refers to the amount of money collected for patient supplies (i.e. supports, pillows, orthotics, home traction devices, etc.).
</t>
        </r>
      </text>
    </comment>
    <comment ref="R4" authorId="0" shapeId="0" xr:uid="{59009C00-882A-482B-913C-357C94288034}">
      <text>
        <r>
          <rPr>
            <sz val="10"/>
            <color rgb="FF000000"/>
            <rFont val="Arial"/>
            <family val="2"/>
          </rPr>
          <t xml:space="preserve">This is an auto fill column that totals all Over The Counter Collections.
</t>
        </r>
      </text>
    </comment>
    <comment ref="S4" authorId="0" shapeId="0" xr:uid="{A822D73A-E468-4EE5-AD99-95116AA53225}">
      <text>
        <r>
          <rPr>
            <sz val="10"/>
            <color rgb="FF000000"/>
            <rFont val="Arial"/>
            <family val="2"/>
          </rPr>
          <t>This column refers to the amount of monies collected by the billing department directly from insurance companies.</t>
        </r>
      </text>
    </comment>
    <comment ref="T4" authorId="0" shapeId="0" xr:uid="{8D22436B-112F-4E9C-A6AF-6D4896BEBF3B}">
      <text>
        <r>
          <rPr>
            <sz val="10"/>
            <color rgb="FF000000"/>
            <rFont val="Arial"/>
            <family val="2"/>
          </rPr>
          <t xml:space="preserve">This column refers to the amount of money collected for patient supplies (i.e. supports, pillows, orthotics, home traction devices, etc.).
</t>
        </r>
      </text>
    </comment>
    <comment ref="U4" authorId="0" shapeId="0" xr:uid="{3E16485F-7F9E-4AEE-BDF2-D4A3B8A3DFCD}">
      <text>
        <r>
          <rPr>
            <sz val="10"/>
            <color rgb="FF000000"/>
            <rFont val="Arial"/>
            <family val="2"/>
          </rPr>
          <t xml:space="preserve">Nicci McClearn:
This is for refund only.  Do not put in  - totals are setup to deduct.
</t>
        </r>
      </text>
    </comment>
    <comment ref="W4" authorId="0" shapeId="0" xr:uid="{5E2BC7B0-CA4A-486D-99A1-3094755B24AD}">
      <text>
        <r>
          <rPr>
            <sz val="10"/>
            <color rgb="FF000000"/>
            <rFont val="Arial"/>
            <family val="2"/>
          </rPr>
          <t xml:space="preserve">This is an auto fill column that goives the total collections for the day.
</t>
        </r>
      </text>
    </comment>
  </commentList>
</comments>
</file>

<file path=xl/sharedStrings.xml><?xml version="1.0" encoding="utf-8"?>
<sst xmlns="http://schemas.openxmlformats.org/spreadsheetml/2006/main" count="445" uniqueCount="98">
  <si>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</si>
  <si>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</si>
  <si>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</si>
  <si>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</si>
  <si>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</si>
  <si>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</si>
  <si>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</si>
  <si>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</si>
  <si>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</si>
  <si>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</si>
  <si>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</si>
  <si>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</si>
  <si>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Clinic:</t>
  </si>
  <si>
    <t>Ben Duke</t>
  </si>
  <si>
    <t>Month:</t>
  </si>
  <si>
    <t>New</t>
  </si>
  <si>
    <t>Totals</t>
  </si>
  <si>
    <t>OTC Collections</t>
  </si>
  <si>
    <t xml:space="preserve">Day of the </t>
  </si>
  <si>
    <t>Sch</t>
  </si>
  <si>
    <t>Act</t>
  </si>
  <si>
    <t>Sch/Act</t>
  </si>
  <si>
    <t>DAY</t>
  </si>
  <si>
    <t>%</t>
  </si>
  <si>
    <t>Pt</t>
  </si>
  <si>
    <t>PV</t>
  </si>
  <si>
    <t>Charges</t>
  </si>
  <si>
    <t>Chgs/</t>
  </si>
  <si>
    <t>Total</t>
  </si>
  <si>
    <t xml:space="preserve"> </t>
  </si>
  <si>
    <t>Discounts</t>
  </si>
  <si>
    <t>$PER</t>
  </si>
  <si>
    <t>VISITS</t>
  </si>
  <si>
    <t>month</t>
  </si>
  <si>
    <t>D1</t>
  </si>
  <si>
    <t>D1-D2</t>
  </si>
  <si>
    <t>Conv</t>
  </si>
  <si>
    <t>D1-Conv</t>
  </si>
  <si>
    <t>D2-Conv</t>
  </si>
  <si>
    <t>Re-Act</t>
  </si>
  <si>
    <t>$$</t>
  </si>
  <si>
    <t>Visit</t>
  </si>
  <si>
    <t>Adjust</t>
  </si>
  <si>
    <t>Care</t>
  </si>
  <si>
    <t>Prod</t>
  </si>
  <si>
    <t>OTC</t>
  </si>
  <si>
    <t>PI</t>
  </si>
  <si>
    <t>Refunds</t>
  </si>
  <si>
    <t>Coll $</t>
  </si>
  <si>
    <t>Coll</t>
  </si>
  <si>
    <t>VISIT</t>
  </si>
  <si>
    <t>PATIENT</t>
  </si>
  <si>
    <t>Daily Avg</t>
  </si>
  <si>
    <t>DOM</t>
  </si>
  <si>
    <t>Visits</t>
  </si>
  <si>
    <t>Collections</t>
  </si>
  <si>
    <t>Patient Visits</t>
  </si>
  <si>
    <t>Cash &amp; Medicare</t>
  </si>
  <si>
    <t>PIP</t>
  </si>
  <si>
    <t>M/C</t>
  </si>
  <si>
    <t>Cash</t>
  </si>
  <si>
    <t>Both</t>
  </si>
  <si>
    <t>Chiro</t>
  </si>
  <si>
    <t>Adj</t>
  </si>
  <si>
    <t>Cons.</t>
  </si>
  <si>
    <t>ADJ</t>
  </si>
  <si>
    <t>Consult</t>
  </si>
  <si>
    <t>Pkgs</t>
  </si>
  <si>
    <t>$</t>
  </si>
  <si>
    <t>min</t>
  </si>
  <si>
    <t>Total $</t>
  </si>
  <si>
    <t>Packages</t>
  </si>
  <si>
    <t xml:space="preserve"># Package </t>
  </si>
  <si>
    <t>Completion</t>
  </si>
  <si>
    <t>Wellness</t>
  </si>
  <si>
    <t>#1</t>
  </si>
  <si>
    <t>#2</t>
  </si>
  <si>
    <t>#3</t>
  </si>
  <si>
    <t>Conversion</t>
  </si>
  <si>
    <t>Rate %</t>
  </si>
  <si>
    <t>8 Pack</t>
  </si>
  <si>
    <t>15 Pack</t>
  </si>
  <si>
    <t>50 Pack</t>
  </si>
  <si>
    <t>#</t>
  </si>
  <si>
    <t xml:space="preserve">Package </t>
  </si>
  <si>
    <t>10 Pack</t>
  </si>
  <si>
    <t>20 Pack</t>
  </si>
  <si>
    <t>30 Pack</t>
  </si>
  <si>
    <t>Full</t>
  </si>
  <si>
    <t>Regions</t>
  </si>
  <si>
    <t>Cervical</t>
  </si>
  <si>
    <t>Thoracic</t>
  </si>
  <si>
    <t>Lumbar</t>
  </si>
  <si>
    <t>Extremity</t>
  </si>
  <si>
    <t>Other</t>
  </si>
  <si>
    <t>Spine</t>
  </si>
  <si>
    <t>Opt Out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</si>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</sst>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B05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5B4E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2" fillId="0" borderId="1" xfId="0" applyFont="1" applyBorder="1"/>
    <xf numFmtId="9" fontId="2" fillId="0" borderId="1" xfId="0" applyNumberFormat="1" applyFont="1" applyBorder="1"/>
    <xf numFmtId="4" fontId="2" fillId="0" borderId="0" xfId="0" applyNumberFormat="1" applyFont="1"/>
    <xf numFmtId="9" fontId="3" fillId="0" borderId="0" xfId="0" applyNumberFormat="1" applyFont="1"/>
    <xf numFmtId="9" fontId="3" fillId="0" borderId="3" xfId="0" applyNumberFormat="1" applyFont="1" applyBorder="1" applyAlignment="1">
      <alignment horizontal="center"/>
    </xf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  <xf numFmtId="0" fontId="0" fillId="3" borderId="0" xfId="0" applyFill="1"/>
    <xf numFmtId="0" fontId="8" fillId="3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1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2" fillId="4" borderId="5" xfId="0" applyFont="1" applyFill="1" applyBorder="1" applyAlignment="1" applyProtection="1">
      <alignment horizontal="center"/>
      <protection locked="0"/>
    </xf>
    <xf numFmtId="9" fontId="3" fillId="6" borderId="6" xfId="0" applyNumberFormat="1" applyFont="1" applyFill="1" applyBorder="1"/>
    <xf numFmtId="0" fontId="2" fillId="6" borderId="7" xfId="0" applyFont="1" applyFill="1" applyBorder="1"/>
    <xf numFmtId="0" fontId="3" fillId="6" borderId="5" xfId="0" applyFont="1" applyFill="1" applyBorder="1" applyAlignment="1">
      <alignment horizontal="center"/>
    </xf>
    <xf numFmtId="0" fontId="7" fillId="6" borderId="5" xfId="1" applyNumberFormat="1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9" fontId="3" fillId="7" borderId="5" xfId="0" applyNumberFormat="1" applyFont="1" applyFill="1" applyBorder="1" applyAlignment="1">
      <alignment horizontal="center"/>
    </xf>
    <xf numFmtId="164" fontId="3" fillId="7" borderId="5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2" applyFont="1"/>
    <xf numFmtId="0" fontId="3" fillId="6" borderId="9" xfId="0" applyFont="1" applyFill="1" applyBorder="1" applyAlignment="1">
      <alignment horizontal="center"/>
    </xf>
    <xf numFmtId="9" fontId="3" fillId="6" borderId="9" xfId="0" applyNumberFormat="1" applyFont="1" applyFill="1" applyBorder="1" applyAlignment="1">
      <alignment horizontal="center"/>
    </xf>
    <xf numFmtId="1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wrapText="1"/>
    </xf>
    <xf numFmtId="0" fontId="3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5" borderId="6" xfId="0" applyFont="1" applyFill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4" fontId="3" fillId="8" borderId="3" xfId="0" applyNumberFormat="1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/>
    </xf>
    <xf numFmtId="9" fontId="3" fillId="6" borderId="7" xfId="0" applyNumberFormat="1" applyFont="1" applyFill="1" applyBorder="1" applyAlignment="1">
      <alignment horizontal="center"/>
    </xf>
    <xf numFmtId="9" fontId="2" fillId="6" borderId="7" xfId="0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9" fontId="2" fillId="7" borderId="7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164" fontId="2" fillId="8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 shrinkToFit="1"/>
    </xf>
    <xf numFmtId="164" fontId="3" fillId="0" borderId="4" xfId="0" applyNumberFormat="1" applyFont="1" applyBorder="1" applyAlignment="1" applyProtection="1">
      <alignment horizontal="center" shrinkToFit="1"/>
      <protection locked="0"/>
    </xf>
    <xf numFmtId="164" fontId="3" fillId="4" borderId="4" xfId="0" applyNumberFormat="1" applyFont="1" applyFill="1" applyBorder="1" applyAlignment="1">
      <alignment horizontal="center" shrinkToFit="1"/>
    </xf>
    <xf numFmtId="9" fontId="2" fillId="0" borderId="4" xfId="0" applyNumberFormat="1" applyFont="1" applyBorder="1" applyAlignment="1">
      <alignment horizontal="center" shrinkToFit="1"/>
    </xf>
    <xf numFmtId="164" fontId="2" fillId="0" borderId="5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9" fontId="3" fillId="6" borderId="6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 applyProtection="1">
      <alignment horizontal="center"/>
      <protection locked="0"/>
    </xf>
    <xf numFmtId="1" fontId="3" fillId="0" borderId="5" xfId="0" applyNumberFormat="1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9" fontId="7" fillId="0" borderId="5" xfId="2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164" fontId="7" fillId="0" borderId="5" xfId="0" applyNumberFormat="1" applyFont="1" applyBorder="1" applyAlignment="1">
      <alignment horizontal="center" wrapText="1"/>
    </xf>
    <xf numFmtId="9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wrapText="1"/>
    </xf>
    <xf numFmtId="9" fontId="2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16" fontId="8" fillId="0" borderId="0" xfId="0" applyNumberFormat="1" applyFont="1" applyAlignment="1">
      <alignment horizontal="left"/>
    </xf>
    <xf numFmtId="0" fontId="0" fillId="0" borderId="5" xfId="0" applyBorder="1" applyAlignment="1" applyProtection="1">
      <alignment horizontal="center"/>
      <protection locked="0"/>
    </xf>
    <xf numFmtId="164" fontId="7" fillId="0" borderId="5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" fontId="0" fillId="0" borderId="5" xfId="0" applyNumberFormat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164" fontId="3" fillId="5" borderId="14" xfId="0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164" fontId="3" fillId="5" borderId="15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2" fillId="0" borderId="17" xfId="0" applyNumberFormat="1" applyFont="1" applyBorder="1"/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12" fillId="0" borderId="0" xfId="0" applyFont="1"/>
    <xf numFmtId="1" fontId="2" fillId="0" borderId="14" xfId="0" applyNumberFormat="1" applyFont="1" applyBorder="1"/>
    <xf numFmtId="0" fontId="3" fillId="7" borderId="14" xfId="0" applyFont="1" applyFill="1" applyBorder="1" applyAlignment="1">
      <alignment horizontal="center"/>
    </xf>
    <xf numFmtId="164" fontId="3" fillId="9" borderId="14" xfId="0" applyNumberFormat="1" applyFont="1" applyFill="1" applyBorder="1" applyAlignment="1">
      <alignment horizontal="center"/>
    </xf>
    <xf numFmtId="0" fontId="11" fillId="0" borderId="0" xfId="0" applyFont="1"/>
    <xf numFmtId="1" fontId="12" fillId="0" borderId="0" xfId="0" applyNumberFormat="1" applyFont="1"/>
    <xf numFmtId="164" fontId="12" fillId="0" borderId="0" xfId="0" applyNumberFormat="1" applyFont="1"/>
    <xf numFmtId="0" fontId="0" fillId="0" borderId="10" xfId="0" applyBorder="1" applyAlignment="1">
      <alignment horizontal="center"/>
    </xf>
    <xf numFmtId="9" fontId="2" fillId="0" borderId="20" xfId="0" applyNumberFormat="1" applyFont="1" applyBorder="1" applyAlignment="1">
      <alignment horizontal="center" shrinkToFit="1"/>
    </xf>
    <xf numFmtId="9" fontId="3" fillId="0" borderId="0" xfId="0" applyNumberFormat="1" applyFont="1" applyAlignment="1">
      <alignment horizontal="center" shrinkToFit="1"/>
    </xf>
    <xf numFmtId="164" fontId="3" fillId="4" borderId="19" xfId="0" applyNumberFormat="1" applyFont="1" applyFill="1" applyBorder="1" applyAlignment="1">
      <alignment horizontal="center" shrinkToFit="1"/>
    </xf>
    <xf numFmtId="9" fontId="2" fillId="0" borderId="5" xfId="0" applyNumberFormat="1" applyFont="1" applyBorder="1" applyAlignment="1">
      <alignment horizontal="center" shrinkToFit="1"/>
    </xf>
    <xf numFmtId="164" fontId="4" fillId="0" borderId="4" xfId="0" applyNumberFormat="1" applyFont="1" applyBorder="1" applyAlignment="1" applyProtection="1">
      <alignment horizontal="center" shrinkToFit="1"/>
      <protection locked="0"/>
    </xf>
    <xf numFmtId="164" fontId="13" fillId="0" borderId="0" xfId="0" applyNumberFormat="1" applyFont="1" applyAlignment="1">
      <alignment horizontal="center" shrinkToFit="1"/>
    </xf>
    <xf numFmtId="9" fontId="2" fillId="0" borderId="5" xfId="0" applyNumberFormat="1" applyFont="1" applyBorder="1"/>
    <xf numFmtId="0" fontId="11" fillId="7" borderId="5" xfId="0" applyFont="1" applyFill="1" applyBorder="1"/>
    <xf numFmtId="0" fontId="11" fillId="5" borderId="15" xfId="0" applyFont="1" applyFill="1" applyBorder="1" applyAlignment="1">
      <alignment horizontal="center"/>
    </xf>
    <xf numFmtId="9" fontId="2" fillId="0" borderId="17" xfId="0" applyNumberFormat="1" applyFont="1" applyBorder="1"/>
    <xf numFmtId="0" fontId="11" fillId="6" borderId="15" xfId="0" applyFont="1" applyFill="1" applyBorder="1"/>
    <xf numFmtId="0" fontId="3" fillId="6" borderId="15" xfId="0" applyFont="1" applyFill="1" applyBorder="1" applyAlignment="1">
      <alignment horizontal="center"/>
    </xf>
    <xf numFmtId="1" fontId="2" fillId="0" borderId="15" xfId="0" applyNumberFormat="1" applyFont="1" applyBorder="1"/>
    <xf numFmtId="1" fontId="2" fillId="0" borderId="18" xfId="0" applyNumberFormat="1" applyFont="1" applyBorder="1"/>
    <xf numFmtId="0" fontId="11" fillId="7" borderId="14" xfId="0" applyFont="1" applyFill="1" applyBorder="1"/>
    <xf numFmtId="0" fontId="3" fillId="10" borderId="15" xfId="0" applyFont="1" applyFill="1" applyBorder="1" applyAlignment="1">
      <alignment horizontal="center"/>
    </xf>
    <xf numFmtId="1" fontId="2" fillId="0" borderId="16" xfId="0" applyNumberFormat="1" applyFont="1" applyBorder="1"/>
    <xf numFmtId="164" fontId="3" fillId="9" borderId="15" xfId="0" applyNumberFormat="1" applyFont="1" applyFill="1" applyBorder="1" applyAlignment="1">
      <alignment horizontal="center"/>
    </xf>
    <xf numFmtId="0" fontId="2" fillId="0" borderId="15" xfId="0" applyFont="1" applyBorder="1"/>
    <xf numFmtId="0" fontId="14" fillId="0" borderId="15" xfId="0" applyFont="1" applyBorder="1"/>
    <xf numFmtId="0" fontId="14" fillId="0" borderId="18" xfId="0" applyFont="1" applyBorder="1"/>
    <xf numFmtId="4" fontId="3" fillId="0" borderId="0" xfId="0" applyNumberFormat="1" applyFont="1" applyAlignment="1">
      <alignment horizontal="center" shrinkToFit="1"/>
    </xf>
    <xf numFmtId="1" fontId="0" fillId="0" borderId="0" xfId="0" applyNumberFormat="1" applyAlignment="1">
      <alignment horizontal="center"/>
    </xf>
    <xf numFmtId="1" fontId="0" fillId="0" borderId="22" xfId="0" applyNumberFormat="1" applyBorder="1" applyAlignment="1">
      <alignment horizontal="center"/>
    </xf>
    <xf numFmtId="4" fontId="3" fillId="5" borderId="6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4" fontId="3" fillId="0" borderId="21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6" borderId="14" xfId="0" applyFont="1" applyFill="1" applyBorder="1"/>
    <xf numFmtId="0" fontId="11" fillId="6" borderId="5" xfId="0" applyFont="1" applyFill="1" applyBorder="1"/>
    <xf numFmtId="0" fontId="11" fillId="9" borderId="14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5" xfId="0" applyFont="1" applyFill="1" applyBorder="1"/>
    <xf numFmtId="0" fontId="11" fillId="7" borderId="15" xfId="0" applyFont="1" applyFill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86D52544-6DEB-45CC-815C-E53F7053D877}"/>
  </tableStyles>
  <colors>
    <mruColors>
      <color rgb="FFC5B4E3"/>
      <color rgb="FFA0C2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C9B4D730-32CA-463D-BD83-A666B59271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9F55F6AF-234B-414D-A51C-E480ECA751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CD14F4FF-1911-48A5-A965-E4F6C9DAD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7DB5A6BC-6B50-43C1-90F8-748DB99B89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776E9144-15E2-477A-B21B-6C530F9EC9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891BB9DD-EC62-467F-AC4D-CCB1B2A7B8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3FC552B1-6C8D-499F-B1C5-40BE9B2644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C99C6A94-4068-4EA4-A6C8-3CB2E4019A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DA364726-83E8-46F7-BAFA-F102D9B26B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46E8EE31-FD7B-4B35-9460-7066FFE1C0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12B16BE5-3D9D-454A-9495-DE3AA35E77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68906E2F-E138-4E17-85E4-8B883D7906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209550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7695897F-166C-4EDA-8001-1FD0286817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82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419100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42B824D1-33F7-4345-A0F6-468472C607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9639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337B72E4-0EE6-4B58-9A19-06ED22003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E7EEE840-6C13-4AE3-8B07-0B96C26F24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4F04BCE0-D60E-4119-8FFC-871DCB1F59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95DCB405-DCC7-4B3C-AF78-F16BEBCEBF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E9DB2FE8-4525-4D13-A0B9-640A822B40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95D529A0-53AF-4A97-945E-E243EC8144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ADD17E60-DF36-4B0C-AA0F-A57A565B13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5F878590-D704-4322-A1FF-8555DA8270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13BA3691-D0A2-43BA-A6FF-15BFFE226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269E077E-8BB6-4759-B73D-D5DF48E872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9BA55967-28B7-4F29-96F6-1A45E7A8FC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601287DC-721C-4DA3-8895-2165F9ED89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E890DD62-B551-47C5-87A0-DD0B283332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771775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4763C597-8B81-4D7D-B0E1-2FDCEBA52F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533650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12319222-CC74-4B29-9DD6-49116604AA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738EEA21-71F6-46EF-AED2-E8B22EFF63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841D67AC-5D04-4352-B06A-34D5B1C722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1EC4B7A7-F733-4B98-BFCD-EEE54C84B8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5E0E2A15-6405-48AA-B175-C17B025268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E6A1F5D3-E0E0-4673-AEE5-0649375672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7C6788CD-BC61-46D7-95B8-AE77D8D593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53AE0529-AD9F-4F60-BCC8-18502C06C4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33C3D6F0-7C93-4AE2-B34A-9725C6C60C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7F668981-3E0C-4FD8-A9A1-E2431F91C0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9F6F768D-F8B2-42B9-8A52-A537886FBC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8AE81ED6-3937-4A4F-A895-798EB03B7D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EDE63E88-162E-4C4C-9807-FAA8346686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18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0AEF28E2-64A7-4593-97F0-81B70CF866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081838" cy="9639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10DCFD7C-22F7-4560-8406-C66477DED0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A0F2FAB1-8F81-4C71-B1CD-58A20A3ADC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13BE8CA4-301A-4359-A3F8-AF93D5B998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4584280F-EFD6-4F5F-9765-6416D01207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41DD00CC-9DC6-43BB-B006-8DFC30E1D5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356998CC-81B6-4757-96C6-F126FFA32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BC86EE2E-1926-4E96-B28F-499FB36CC8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3C5255C6-0BD3-4A58-B95D-854AC4AC6D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BBE2C2D0-0F44-4174-A578-43B7C7011E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6F0728C6-9C22-4721-8D02-FC9C0973EC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B9136CD3-CE81-4749-BC78-CD86CDC034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D42220E1-4E09-4808-AE76-21E452582A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F4184D2B-E7D5-4223-BF61-1A11F90671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E0F75DD6-4384-45AA-9216-3D9D051099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CA13335D-B4FE-491B-A94E-8E6B88A450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B5BD3E1F-4022-40F5-92F3-3F51F09727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79BD3353-C158-4E3C-A5DD-4CBB3D4BC3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D98EA5D9-EBDC-4AA2-96C5-076050D1BD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29BAF158-C078-46D4-8E45-BC5EBB7CB3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CE306DB5-85C9-4B6F-B559-CA6C8CA098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7C02FA40-4E75-41FF-A10A-9F593AF6E4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081AC977-5C0B-4292-BADF-7D452C3657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78F92B4A-44CB-46A8-B305-A296D07DFC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EAC9D262-D3F0-43D4-B882-3CC1C0BFE5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17207569-D28B-40E9-A8FC-8B74906548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A521D145-41F7-4EA5-91D4-9FB027F543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CD0344EB-4DBF-46D7-818F-D62C69199E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93F96B90-87D6-42F5-A642-EC7E7DEDF7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44F99CF0-FE01-45EF-A8E4-5206560BD0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E214B698-46E8-4217-A8A9-837CDC5DE0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2C9C0DE5-AC59-4C60-98B7-0CF65ADBBA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051C9C5C-608B-4E05-918D-3FF568230E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FA56EEF1-C5CD-455A-B4B2-15D0160E40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7D871ED8-72AF-42BC-96B1-6DDBE1A8C7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BDBF0C4A-B37F-48A0-A7B7-116389B3C3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61F91C0A-2857-4D56-AB85-114EB624A4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36430779-BC02-4D13-87BB-1C6B4072CE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B1F14EAE-8245-4E71-8D24-44A401DE65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013A62DC-6023-46B3-AF25-D7D96D5F53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91E0AD8B-9FA5-45C6-83DC-E0C30C83A8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F9881C1F-1BA4-45BF-9A0D-7D1D204E11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6DB50366-FE6D-4B6C-A7BF-A8D15D0F09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1435B059-38C7-4776-A4BE-AAE726D45C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1EA6C6DF-EC3B-4F26-A451-A11DDE5FD0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3D14E8D2-956B-49B5-B3B5-92E5ED902F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4D2356AE-CE55-43CB-B37B-81D5E9FD5F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7D101F55-15E2-463C-A713-1CF38823BB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B0A23527-1933-45E0-B903-AA3D6CECB3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017D6F41-73F7-4FFA-A823-B9871596F9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511253CF-E809-460F-BD52-97928B0567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4BC8763B-2815-4525-8A7D-D743A995F5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A2433E7B-7458-4075-BD20-BF3C7BE85B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49EF87A0-D954-468D-8A40-29FACE3137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4FC12272-AFA9-4834-876C-CFDB09FAE8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2450A743-9F05-45B8-BC23-CFE4F60706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59A9F11B-1D3F-4543-ABDF-F4A6B50A7C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1279C39F-8B51-4263-A8F4-E4992FFC0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95308E89-69FF-490D-96CE-6347EAFC92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5451FC05-A1CD-4B5B-9B59-FAE10F9740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79663442-0844-4C8D-ACEB-CDA08BC993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940AABF6-8848-4152-A438-020F2D4757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8CD0FA32-0A6C-4992-A7CC-318BF6564C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E4A3319E-552F-4969-817A-6093EE274B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D95F48EA-80E6-455A-83AD-6B7D72917A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C84DDFEE-39C3-44C0-A055-9596566BB2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8EEC55C7-24CF-4C61-B3FD-53F4319EE4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0CAB58ED-574E-4F92-AC59-753528A235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A4569150-520F-4943-923D-0F96EF8F36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2B7C896D-B4E3-4368-B37F-0FCF9C0168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5879F00C-04AD-4894-86DD-CA4C692F05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147C871B-F46A-423F-B1D0-5F4895C417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BF73AFC8-CE44-4155-B0C6-566A8F8572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CFFD664B-4228-4562-AA44-B2C422D8B6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A6A4610C-F78A-4CBB-8B0D-48B61E74E9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D83CED0F-B5A8-47E6-AA16-3CE220C5A2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930884B0-F9C9-4BEA-B161-D1B91C18CF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80D9BE67-E0D7-4C6E-AA2C-444F3ED4EF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390E582F-B17E-478E-A0A8-BEDCA51E95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1F04B587-1266-4483-84A9-66A894197B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9917140F-4411-4EE4-A507-1446958C82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CF67057F-3479-4EE7-AFEF-A237041015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F73EE28E-8A79-467F-9BBA-6F9C226498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932B3734-795D-40BD-A125-286C4059FC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37E948AF-14E4-4CFC-98B0-5B7AE6591C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C41A4807-3CD2-4765-8B96-3BEB0F315E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27CF0B93-32C5-4040-8E10-9CE31B0598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40FAF3DB-F361-4CD9-B81C-10599BE39B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B4AAB9E4-CA66-4446-8092-46803D3E15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AAF88C58-0BD6-44E7-B837-09FA85CFAC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42CC837D-999A-45D6-BCD3-991A558E38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4DF5B992-A9AA-4D38-B4EF-5A63436071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8C924D23-66C6-4DB4-81A9-2DBDBAE57F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C8FEBF60-2DED-47CD-A46A-D97EA47229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E6855194-8D06-455B-9FC8-FBE1CDDF89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C6B9D427-C084-4A3B-9287-E06B39D7AD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213C804F-ABCC-46E8-BBC9-89BC49A017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9D92353F-85EC-4A32-850D-0092CF6A5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77753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7D2100C8-9F03-4669-BC7C-3B9E27F869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910888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2" name="AutoShape 30">
          <a:extLst>
            <a:ext uri="{FF2B5EF4-FFF2-40B4-BE49-F238E27FC236}">
              <a16:creationId xmlns:a16="http://schemas.microsoft.com/office/drawing/2014/main" id="{933FE05A-668B-4E9C-A4A5-8F5020EE8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3" name="AutoShape 30">
          <a:extLst>
            <a:ext uri="{FF2B5EF4-FFF2-40B4-BE49-F238E27FC236}">
              <a16:creationId xmlns:a16="http://schemas.microsoft.com/office/drawing/2014/main" id="{5B932655-36FF-4EB9-AC6C-C8F750E92F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4" name="AutoShape 30">
          <a:extLst>
            <a:ext uri="{FF2B5EF4-FFF2-40B4-BE49-F238E27FC236}">
              <a16:creationId xmlns:a16="http://schemas.microsoft.com/office/drawing/2014/main" id="{2D7DCBA7-D223-4B55-B33D-71A9138005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5" name="AutoShape 30">
          <a:extLst>
            <a:ext uri="{FF2B5EF4-FFF2-40B4-BE49-F238E27FC236}">
              <a16:creationId xmlns:a16="http://schemas.microsoft.com/office/drawing/2014/main" id="{BD4E8343-F0A1-4AFC-ACA1-49763566E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6" name="AutoShape 30">
          <a:extLst>
            <a:ext uri="{FF2B5EF4-FFF2-40B4-BE49-F238E27FC236}">
              <a16:creationId xmlns:a16="http://schemas.microsoft.com/office/drawing/2014/main" id="{5616D651-7A37-402F-9018-3DA09AAB14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7" name="AutoShape 30">
          <a:extLst>
            <a:ext uri="{FF2B5EF4-FFF2-40B4-BE49-F238E27FC236}">
              <a16:creationId xmlns:a16="http://schemas.microsoft.com/office/drawing/2014/main" id="{DA9CE9A0-9D0D-408E-851C-8650EED7AE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8" name="AutoShape 30">
          <a:extLst>
            <a:ext uri="{FF2B5EF4-FFF2-40B4-BE49-F238E27FC236}">
              <a16:creationId xmlns:a16="http://schemas.microsoft.com/office/drawing/2014/main" id="{2932F400-8CB4-44BD-A89F-AC6347BE79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9" name="AutoShape 30">
          <a:extLst>
            <a:ext uri="{FF2B5EF4-FFF2-40B4-BE49-F238E27FC236}">
              <a16:creationId xmlns:a16="http://schemas.microsoft.com/office/drawing/2014/main" id="{8E7C9CFA-C3EE-4C00-A6CB-947B9DF3BD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420C7483-5260-4C4E-90F8-5663C3A03B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1" name="AutoShape 30">
          <a:extLst>
            <a:ext uri="{FF2B5EF4-FFF2-40B4-BE49-F238E27FC236}">
              <a16:creationId xmlns:a16="http://schemas.microsoft.com/office/drawing/2014/main" id="{F57D434E-68C2-450B-A58E-C5AE7A7BAB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2" name="AutoShape 30">
          <a:extLst>
            <a:ext uri="{FF2B5EF4-FFF2-40B4-BE49-F238E27FC236}">
              <a16:creationId xmlns:a16="http://schemas.microsoft.com/office/drawing/2014/main" id="{B9F5BFD1-C00A-4494-8CD3-F419451F3E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3" name="AutoShape 30">
          <a:extLst>
            <a:ext uri="{FF2B5EF4-FFF2-40B4-BE49-F238E27FC236}">
              <a16:creationId xmlns:a16="http://schemas.microsoft.com/office/drawing/2014/main" id="{A0B3621F-C7F0-4CA4-BD1E-63809D0833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123825</xdr:rowOff>
    </xdr:to>
    <xdr:sp macro="" textlink="">
      <xdr:nvSpPr>
        <xdr:cNvPr id="14" name="AutoShape 30">
          <a:extLst>
            <a:ext uri="{FF2B5EF4-FFF2-40B4-BE49-F238E27FC236}">
              <a16:creationId xmlns:a16="http://schemas.microsoft.com/office/drawing/2014/main" id="{4B83ABDD-3E6D-4EA1-ACB8-7C14382FEC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929063" cy="10620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59</xdr:row>
      <xdr:rowOff>76200</xdr:rowOff>
    </xdr:to>
    <xdr:sp macro="" textlink="">
      <xdr:nvSpPr>
        <xdr:cNvPr id="15" name="AutoShape 30">
          <a:extLst>
            <a:ext uri="{FF2B5EF4-FFF2-40B4-BE49-F238E27FC236}">
              <a16:creationId xmlns:a16="http://schemas.microsoft.com/office/drawing/2014/main" id="{EC97AA2F-2F1B-403B-9AD4-9914C24768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690938" cy="10753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5A66-BF5F-433B-9F77-C73CC2B3B27E}">
  <dimension ref="A1:B12"/>
  <sheetViews>
    <sheetView workbookViewId="0">
      <selection activeCell="B1" sqref="B1:B1048576"/>
    </sheetView>
  </sheetViews>
  <sheetFormatPr defaultColWidth="8.7109375" defaultRowHeight="15" x14ac:dyDescent="0.25"/>
  <sheetData>
    <row r="1" spans="1:2" x14ac:dyDescent="0.25">
      <c r="A1" t="s">
        <v>0</v>
      </c>
      <c r="B1">
        <v>2022</v>
      </c>
    </row>
    <row r="2" spans="1:2" x14ac:dyDescent="0.25">
      <c r="A2" t="s">
        <v>1</v>
      </c>
      <c r="B2">
        <v>2023</v>
      </c>
    </row>
    <row r="3" spans="1:2" x14ac:dyDescent="0.25">
      <c r="A3" t="s">
        <v>2</v>
      </c>
      <c r="B3">
        <v>2024</v>
      </c>
    </row>
    <row r="4" spans="1:2" x14ac:dyDescent="0.25">
      <c r="A4" t="s">
        <v>3</v>
      </c>
      <c r="B4">
        <v>2025</v>
      </c>
    </row>
    <row r="5" spans="1:2" x14ac:dyDescent="0.25">
      <c r="A5" t="s">
        <v>4</v>
      </c>
      <c r="B5">
        <v>2026</v>
      </c>
    </row>
    <row r="6" spans="1:2" x14ac:dyDescent="0.25">
      <c r="A6" t="s">
        <v>5</v>
      </c>
      <c r="B6">
        <v>2027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0DFE-7E8D-4D79-AB7F-45CAD117A5FB}">
  <sheetPr codeName="Sheet1"/>
  <dimension ref="A1:AA46"/>
  <sheetViews>
    <sheetView showGridLines="0" topLeftCell="J1" zoomScale="80" zoomScaleNormal="80" workbookViewId="0">
      <selection activeCell="W37" sqref="W37"/>
    </sheetView>
  </sheetViews>
  <sheetFormatPr defaultColWidth="14.42578125" defaultRowHeight="15" x14ac:dyDescent="0.25"/>
  <cols>
    <col min="1" max="1" width="10.7109375" customWidth="1"/>
    <col min="2" max="2" width="11.140625" customWidth="1"/>
    <col min="3" max="3" width="8.28515625" customWidth="1"/>
    <col min="4" max="4" width="9.42578125" customWidth="1"/>
    <col min="5" max="5" width="8.42578125" customWidth="1"/>
    <col min="6" max="6" width="8.7109375" customWidth="1"/>
    <col min="7" max="7" width="9.140625"/>
    <col min="8" max="8" width="9.28515625" bestFit="1" customWidth="1"/>
    <col min="9" max="9" width="9.28515625" customWidth="1"/>
    <col min="10" max="10" width="9.140625"/>
    <col min="11" max="11" width="7.140625" customWidth="1"/>
    <col min="12" max="12" width="7.42578125" customWidth="1"/>
    <col min="13" max="13" width="8.7109375" customWidth="1"/>
    <col min="14" max="14" width="14.7109375" style="14" customWidth="1"/>
    <col min="15" max="15" width="8.7109375" style="14" customWidth="1"/>
    <col min="16" max="16" width="12.42578125" style="14" customWidth="1"/>
    <col min="17" max="18" width="12" style="14" customWidth="1"/>
    <col min="19" max="19" width="12" style="14" bestFit="1" customWidth="1"/>
    <col min="20" max="20" width="10.7109375" customWidth="1"/>
    <col min="21" max="21" width="10.140625" style="14" customWidth="1"/>
    <col min="22" max="22" width="10.28515625" style="14" customWidth="1"/>
    <col min="23" max="23" width="12" bestFit="1" customWidth="1"/>
  </cols>
  <sheetData>
    <row r="1" spans="1:27" ht="13.5" customHeight="1" x14ac:dyDescent="0.25">
      <c r="A1" s="1" t="s">
        <v>12</v>
      </c>
      <c r="B1" s="2"/>
      <c r="C1" s="2"/>
      <c r="D1" s="3"/>
      <c r="E1" s="4" t="s">
        <v>13</v>
      </c>
      <c r="F1" s="5"/>
      <c r="K1" s="2"/>
      <c r="L1" s="2"/>
      <c r="M1" s="3"/>
      <c r="N1" s="12"/>
      <c r="O1" s="12"/>
      <c r="P1" s="12"/>
      <c r="Q1" s="12"/>
      <c r="R1" s="11"/>
      <c r="S1" s="12"/>
      <c r="T1" s="6"/>
      <c r="U1" s="12"/>
      <c r="V1" s="12"/>
      <c r="W1" s="3"/>
    </row>
    <row r="2" spans="1:27" ht="12.75" customHeight="1" x14ac:dyDescent="0.25">
      <c r="A2" s="7" t="s">
        <v>14</v>
      </c>
      <c r="B2" s="20" t="s">
        <v>0</v>
      </c>
      <c r="C2" s="21">
        <v>2025</v>
      </c>
      <c r="D2" s="7"/>
      <c r="E2" s="2"/>
      <c r="F2" s="3"/>
      <c r="K2" s="2"/>
      <c r="L2" s="2"/>
      <c r="M2" s="3"/>
      <c r="N2" s="12"/>
      <c r="O2" s="12"/>
      <c r="P2" s="12"/>
      <c r="Q2" s="12"/>
      <c r="R2" s="11"/>
      <c r="S2" s="12"/>
      <c r="T2" s="6"/>
      <c r="U2" s="12"/>
      <c r="V2" s="12"/>
      <c r="W2" s="3"/>
    </row>
    <row r="3" spans="1:27" ht="12.75" customHeight="1" x14ac:dyDescent="0.25">
      <c r="A3" s="23" t="s">
        <v>15</v>
      </c>
      <c r="B3" s="24"/>
      <c r="C3" s="59"/>
      <c r="D3" s="60"/>
      <c r="E3" s="59"/>
      <c r="F3" s="61"/>
      <c r="G3" s="62"/>
      <c r="H3" s="62"/>
      <c r="I3" s="62"/>
      <c r="J3" s="62"/>
      <c r="K3" s="54" t="s">
        <v>16</v>
      </c>
      <c r="L3" s="63"/>
      <c r="M3" s="64"/>
      <c r="N3" s="65"/>
      <c r="O3" s="65"/>
      <c r="P3" s="153" t="s">
        <v>17</v>
      </c>
      <c r="Q3" s="154"/>
      <c r="R3" s="154"/>
      <c r="S3" s="31"/>
      <c r="T3" s="111"/>
      <c r="U3" s="46"/>
      <c r="V3" s="46"/>
      <c r="W3" s="66"/>
      <c r="X3" s="67"/>
      <c r="Y3" s="67"/>
      <c r="Z3" s="67"/>
      <c r="AA3" s="128"/>
    </row>
    <row r="4" spans="1:27" ht="12.75" customHeight="1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22</v>
      </c>
      <c r="F4" s="27" t="s">
        <v>23</v>
      </c>
      <c r="G4" s="25" t="s">
        <v>24</v>
      </c>
      <c r="H4" s="27" t="s">
        <v>23</v>
      </c>
      <c r="I4" s="27" t="s">
        <v>23</v>
      </c>
      <c r="J4" s="25"/>
      <c r="K4" s="28" t="s">
        <v>19</v>
      </c>
      <c r="L4" s="28" t="s">
        <v>20</v>
      </c>
      <c r="M4" s="29" t="s">
        <v>25</v>
      </c>
      <c r="N4" s="30" t="s">
        <v>26</v>
      </c>
      <c r="O4" s="30" t="s">
        <v>27</v>
      </c>
      <c r="P4" s="32"/>
      <c r="Q4" s="32" t="s">
        <v>24</v>
      </c>
      <c r="R4" s="32" t="s">
        <v>28</v>
      </c>
      <c r="S4" s="32" t="s">
        <v>28</v>
      </c>
      <c r="T4" s="32" t="s">
        <v>28</v>
      </c>
      <c r="U4" s="47" t="s">
        <v>29</v>
      </c>
      <c r="V4" s="155" t="s">
        <v>30</v>
      </c>
      <c r="W4" s="52" t="s">
        <v>28</v>
      </c>
      <c r="X4" s="48" t="s">
        <v>23</v>
      </c>
      <c r="Y4" s="48" t="s">
        <v>31</v>
      </c>
      <c r="Z4" s="49" t="s">
        <v>31</v>
      </c>
      <c r="AA4" s="49" t="s">
        <v>32</v>
      </c>
    </row>
    <row r="5" spans="1:27" ht="12.75" customHeight="1" x14ac:dyDescent="0.25">
      <c r="A5" s="25" t="s">
        <v>33</v>
      </c>
      <c r="B5" s="25" t="s">
        <v>34</v>
      </c>
      <c r="C5" s="25" t="s">
        <v>34</v>
      </c>
      <c r="D5" s="27" t="s">
        <v>34</v>
      </c>
      <c r="E5" s="25">
        <v>2</v>
      </c>
      <c r="F5" s="27" t="s">
        <v>35</v>
      </c>
      <c r="G5" s="25" t="s">
        <v>36</v>
      </c>
      <c r="H5" s="27" t="s">
        <v>37</v>
      </c>
      <c r="I5" s="27" t="s">
        <v>38</v>
      </c>
      <c r="J5" s="25" t="s">
        <v>39</v>
      </c>
      <c r="K5" s="28" t="s">
        <v>25</v>
      </c>
      <c r="L5" s="28" t="s">
        <v>25</v>
      </c>
      <c r="M5" s="29" t="s">
        <v>23</v>
      </c>
      <c r="N5" s="30" t="s">
        <v>40</v>
      </c>
      <c r="O5" s="30" t="s">
        <v>41</v>
      </c>
      <c r="P5" s="33" t="s">
        <v>42</v>
      </c>
      <c r="Q5" s="33" t="s">
        <v>43</v>
      </c>
      <c r="R5" s="33" t="s">
        <v>44</v>
      </c>
      <c r="S5" s="33" t="s">
        <v>45</v>
      </c>
      <c r="T5" s="33" t="s">
        <v>46</v>
      </c>
      <c r="U5" s="50" t="s">
        <v>47</v>
      </c>
      <c r="V5" s="156"/>
      <c r="W5" s="53" t="s">
        <v>48</v>
      </c>
      <c r="X5" s="8" t="s">
        <v>49</v>
      </c>
      <c r="Y5" s="51" t="s">
        <v>50</v>
      </c>
      <c r="Z5" s="51" t="s">
        <v>51</v>
      </c>
      <c r="AA5" s="19" t="s">
        <v>51</v>
      </c>
    </row>
    <row r="6" spans="1:27" ht="12.75" customHeight="1" x14ac:dyDescent="0.25">
      <c r="A6" s="19">
        <v>1</v>
      </c>
      <c r="B6" s="38"/>
      <c r="C6" s="68"/>
      <c r="D6" s="40"/>
      <c r="E6" s="68"/>
      <c r="F6" s="40"/>
      <c r="G6" s="39"/>
      <c r="H6" s="40"/>
      <c r="I6" s="40"/>
      <c r="J6" s="39"/>
      <c r="K6" s="69"/>
      <c r="L6" s="69"/>
      <c r="M6" s="40"/>
      <c r="N6" s="70"/>
      <c r="O6" s="41"/>
      <c r="P6" s="71">
        <f>Chiro!N7+Chiro!O7</f>
        <v>0</v>
      </c>
      <c r="Q6" s="71">
        <f>Chiro!P7+Chiro!Q7+TRT!Q6+SDT!Q6+SHP!K6+RLT!K6+EWOT!K6+PEMF!K6+Laser!L6+US!L6+'X-Ray'!O6+Massage!M6</f>
        <v>0</v>
      </c>
      <c r="R6" s="72">
        <v>0</v>
      </c>
      <c r="S6" s="71">
        <f>Q6+R6+P6</f>
        <v>0</v>
      </c>
      <c r="T6" s="72">
        <f>Chiro!R7</f>
        <v>0</v>
      </c>
      <c r="U6" s="133">
        <v>0</v>
      </c>
      <c r="V6" s="133">
        <v>0</v>
      </c>
      <c r="W6" s="73">
        <f t="shared" ref="W6:W36" si="0">S6+T6-U6-V6</f>
        <v>0</v>
      </c>
      <c r="X6" s="74" t="e">
        <f t="shared" ref="X6:X36" si="1">W6/N6</f>
        <v>#DIV/0!</v>
      </c>
      <c r="Y6" s="41">
        <f>IFERROR(W6/L6,0)</f>
        <v>0</v>
      </c>
      <c r="Z6" s="75">
        <f>IFERROR(W6/G6,0)</f>
        <v>0</v>
      </c>
      <c r="AA6" s="76">
        <f>IFERROR(L6/G6,0)</f>
        <v>0</v>
      </c>
    </row>
    <row r="7" spans="1:27" ht="12.75" customHeight="1" x14ac:dyDescent="0.25">
      <c r="A7" s="19">
        <v>2</v>
      </c>
      <c r="B7" s="38">
        <v>2</v>
      </c>
      <c r="C7" s="68">
        <v>1</v>
      </c>
      <c r="D7" s="40">
        <f t="shared" ref="D7:D35" si="2">IFERROR((C7/B7),0)</f>
        <v>0.5</v>
      </c>
      <c r="E7" s="68">
        <v>0</v>
      </c>
      <c r="F7" s="40">
        <f t="shared" ref="F7:F35" si="3">E7/C7</f>
        <v>0</v>
      </c>
      <c r="G7" s="39">
        <v>0</v>
      </c>
      <c r="H7" s="40">
        <f>G7/C7</f>
        <v>0</v>
      </c>
      <c r="I7" s="40" t="e">
        <f t="shared" ref="I7:I37" si="4">G7/E7</f>
        <v>#DIV/0!</v>
      </c>
      <c r="J7" s="39">
        <v>0</v>
      </c>
      <c r="K7" s="69">
        <f>Stats!B7+Chiro!H8+TRT!G7+SDT!G7+Laser!G7+US!G7+Massage!E7+'X-Ray'!E7+SHP!G7+RLT!G7+EWOT!G7+PEMF!G7</f>
        <v>87</v>
      </c>
      <c r="L7" s="69">
        <f>Stats!C7+Chiro!I8+TRT!H7+SDT!H7+Laser!H7+US!H7+Massage!F7+'X-Ray'!F7+SHP!H7+RLT!H7+EWOT!H7+PEMF!H7</f>
        <v>82</v>
      </c>
      <c r="M7" s="40">
        <f t="shared" ref="M7:M35" si="5">IFERROR((L7/K7),0)</f>
        <v>0.94252873563218387</v>
      </c>
      <c r="N7" s="70">
        <v>11912.88</v>
      </c>
      <c r="O7" s="41">
        <f t="shared" ref="O7:O35" si="6">N7/L7</f>
        <v>145.2790243902439</v>
      </c>
      <c r="P7" s="71">
        <f>Chiro!N8+Chiro!O8</f>
        <v>2583.88</v>
      </c>
      <c r="Q7" s="71">
        <f>Chiro!P8+Chiro!Q8+TRT!Q7+SDT!Q7+SHP!K7+RLT!K7+EWOT!K7+PEMF!K7+Laser!L7+US!L7+'X-Ray'!O7+Massage!M7</f>
        <v>2247.5</v>
      </c>
      <c r="R7" s="72">
        <v>50</v>
      </c>
      <c r="S7" s="71">
        <f>Q7+R7+P7</f>
        <v>4881.38</v>
      </c>
      <c r="T7" s="72">
        <f>Chiro!R8</f>
        <v>0</v>
      </c>
      <c r="U7" s="133">
        <v>0</v>
      </c>
      <c r="V7" s="133">
        <v>430</v>
      </c>
      <c r="W7" s="73">
        <f>S7+T7-U7-V7</f>
        <v>4451.38</v>
      </c>
      <c r="X7" s="74">
        <f t="shared" si="1"/>
        <v>0.37366111301381366</v>
      </c>
      <c r="Y7" s="41">
        <f t="shared" ref="Y7:Y36" si="7">IFERROR(W7/L7,0)</f>
        <v>54.285121951219516</v>
      </c>
      <c r="Z7" s="75">
        <f t="shared" ref="Z7:Z36" si="8">IFERROR(W7/G7,0)</f>
        <v>0</v>
      </c>
      <c r="AA7" s="76">
        <f t="shared" ref="AA7:AA36" si="9">IFERROR(L7/G7,0)</f>
        <v>0</v>
      </c>
    </row>
    <row r="8" spans="1:27" ht="12.75" customHeight="1" x14ac:dyDescent="0.25">
      <c r="A8" s="19">
        <v>3</v>
      </c>
      <c r="B8" s="38"/>
      <c r="C8" s="68"/>
      <c r="D8" s="40"/>
      <c r="E8" s="68"/>
      <c r="F8" s="40"/>
      <c r="G8" s="39"/>
      <c r="H8" s="40"/>
      <c r="I8" s="40"/>
      <c r="J8" s="39"/>
      <c r="K8" s="69"/>
      <c r="L8" s="69"/>
      <c r="M8" s="40"/>
      <c r="N8" s="70"/>
      <c r="O8" s="41"/>
      <c r="P8" s="71">
        <f>Chiro!N9+Chiro!O9</f>
        <v>0</v>
      </c>
      <c r="Q8" s="71">
        <f>Chiro!P9+Chiro!Q9+TRT!Q8+SDT!Q8+SHP!K8+RLT!K8+EWOT!K8+PEMF!K8+Laser!L8+US!L8+'X-Ray'!O8+Massage!M8</f>
        <v>1137.5</v>
      </c>
      <c r="R8" s="72">
        <v>0</v>
      </c>
      <c r="S8" s="71">
        <f t="shared" ref="S8:S36" si="10">Q8+R8+P8</f>
        <v>1137.5</v>
      </c>
      <c r="T8" s="72">
        <f>Chiro!R9</f>
        <v>0</v>
      </c>
      <c r="U8" s="133">
        <v>0</v>
      </c>
      <c r="V8" s="133">
        <v>0</v>
      </c>
      <c r="W8" s="73">
        <f>S8+T8-U8-V8</f>
        <v>1137.5</v>
      </c>
      <c r="X8" s="74" t="e">
        <f t="shared" si="1"/>
        <v>#DIV/0!</v>
      </c>
      <c r="Y8" s="41">
        <f t="shared" si="7"/>
        <v>0</v>
      </c>
      <c r="Z8" s="75">
        <f t="shared" si="8"/>
        <v>0</v>
      </c>
      <c r="AA8" s="76">
        <f t="shared" si="9"/>
        <v>0</v>
      </c>
    </row>
    <row r="9" spans="1:27" ht="12.75" customHeight="1" x14ac:dyDescent="0.25">
      <c r="A9" s="19">
        <v>4</v>
      </c>
      <c r="B9" s="38"/>
      <c r="C9" s="68"/>
      <c r="D9" s="40"/>
      <c r="E9" s="68"/>
      <c r="F9" s="40"/>
      <c r="G9" s="39"/>
      <c r="H9" s="40"/>
      <c r="I9" s="40"/>
      <c r="J9" s="39"/>
      <c r="K9" s="69"/>
      <c r="L9" s="69"/>
      <c r="M9" s="40"/>
      <c r="N9" s="70"/>
      <c r="O9" s="41"/>
      <c r="P9" s="71">
        <f>Chiro!N10+Chiro!O10</f>
        <v>0</v>
      </c>
      <c r="Q9" s="71">
        <f>Chiro!P10+Chiro!Q10+TRT!Q9+SDT!Q9+SHP!K9+RLT!K9+EWOT!K9+PEMF!K9+Laser!L9+US!L9+'X-Ray'!O9+Massage!M9</f>
        <v>400</v>
      </c>
      <c r="R9" s="72">
        <v>0</v>
      </c>
      <c r="S9" s="71">
        <f t="shared" si="10"/>
        <v>400</v>
      </c>
      <c r="T9" s="72">
        <f>Chiro!R10</f>
        <v>0</v>
      </c>
      <c r="U9" s="133">
        <v>0</v>
      </c>
      <c r="V9" s="133">
        <v>0</v>
      </c>
      <c r="W9" s="73">
        <f>S9+T9-U9-V9</f>
        <v>400</v>
      </c>
      <c r="X9" s="74" t="e">
        <f t="shared" si="1"/>
        <v>#DIV/0!</v>
      </c>
      <c r="Y9" s="41">
        <f t="shared" si="7"/>
        <v>0</v>
      </c>
      <c r="Z9" s="75">
        <f t="shared" si="8"/>
        <v>0</v>
      </c>
      <c r="AA9" s="76">
        <f t="shared" si="9"/>
        <v>0</v>
      </c>
    </row>
    <row r="10" spans="1:27" ht="12.75" customHeight="1" x14ac:dyDescent="0.25">
      <c r="A10" s="19">
        <v>5</v>
      </c>
      <c r="B10" s="38"/>
      <c r="C10" s="68"/>
      <c r="D10" s="40"/>
      <c r="E10" s="68"/>
      <c r="F10" s="40"/>
      <c r="G10" s="39"/>
      <c r="H10" s="40"/>
      <c r="I10" s="40"/>
      <c r="J10" s="39"/>
      <c r="K10" s="69"/>
      <c r="L10" s="69"/>
      <c r="M10" s="40"/>
      <c r="N10" s="70"/>
      <c r="O10" s="41"/>
      <c r="P10" s="71">
        <f>Chiro!N11+Chiro!O11</f>
        <v>0</v>
      </c>
      <c r="Q10" s="71">
        <f>Chiro!P11+Chiro!Q11+TRT!Q10+SDT!Q10+SHP!K10+RLT!K10+EWOT!K10+PEMF!K10+Laser!L10+US!L10+'X-Ray'!O10+Massage!M10</f>
        <v>400</v>
      </c>
      <c r="R10" s="72">
        <v>0</v>
      </c>
      <c r="S10" s="71">
        <f t="shared" si="10"/>
        <v>400</v>
      </c>
      <c r="T10" s="72">
        <f>Chiro!R11</f>
        <v>0</v>
      </c>
      <c r="U10" s="133">
        <v>0</v>
      </c>
      <c r="V10" s="133">
        <v>0</v>
      </c>
      <c r="W10" s="73">
        <f t="shared" si="0"/>
        <v>400</v>
      </c>
      <c r="X10" s="74" t="e">
        <f t="shared" si="1"/>
        <v>#DIV/0!</v>
      </c>
      <c r="Y10" s="41">
        <f t="shared" si="7"/>
        <v>0</v>
      </c>
      <c r="Z10" s="75">
        <f t="shared" si="8"/>
        <v>0</v>
      </c>
      <c r="AA10" s="76">
        <f t="shared" si="9"/>
        <v>0</v>
      </c>
    </row>
    <row r="11" spans="1:27" ht="12.75" customHeight="1" x14ac:dyDescent="0.25">
      <c r="A11" s="19">
        <v>6</v>
      </c>
      <c r="B11" s="38">
        <v>0</v>
      </c>
      <c r="C11" s="68">
        <v>0</v>
      </c>
      <c r="D11" s="40">
        <f t="shared" si="2"/>
        <v>0</v>
      </c>
      <c r="E11" s="68">
        <v>0</v>
      </c>
      <c r="F11" s="40" t="e">
        <f t="shared" si="3"/>
        <v>#DIV/0!</v>
      </c>
      <c r="G11" s="39">
        <v>0</v>
      </c>
      <c r="H11" s="40" t="e">
        <f t="shared" ref="H11:H37" si="11">G11/C11</f>
        <v>#DIV/0!</v>
      </c>
      <c r="I11" s="40" t="e">
        <f t="shared" si="4"/>
        <v>#DIV/0!</v>
      </c>
      <c r="J11" s="39">
        <v>0</v>
      </c>
      <c r="K11" s="69">
        <f>Stats!B11+Chiro!H12+TRT!G11+SDT!G11+Laser!G11+US!G11+Massage!E11+'X-Ray'!E11+SHP!G11+RLT!G11+EWOT!G11+PEMF!G11</f>
        <v>63</v>
      </c>
      <c r="L11" s="69">
        <f>Stats!C11+Chiro!I12+TRT!H11+SDT!H11+Laser!H11+US!H11+Massage!F11+'X-Ray'!F11+SHP!H11+RLT!H11+EWOT!H11+PEMF!H11</f>
        <v>69</v>
      </c>
      <c r="M11" s="40">
        <f t="shared" si="5"/>
        <v>1.0952380952380953</v>
      </c>
      <c r="N11" s="70">
        <v>13816.68</v>
      </c>
      <c r="O11" s="41">
        <f t="shared" si="6"/>
        <v>200.24173913043478</v>
      </c>
      <c r="P11" s="71">
        <f>Chiro!N12+Chiro!O12</f>
        <v>2557.44</v>
      </c>
      <c r="Q11" s="71">
        <f>Chiro!P12+Chiro!Q12+TRT!Q11+SDT!Q11+SHP!K11+RLT!K11+EWOT!K11+PEMF!K11+Laser!L11+US!L11+'X-Ray'!O11+Massage!M11</f>
        <v>7603</v>
      </c>
      <c r="R11" s="72">
        <v>0</v>
      </c>
      <c r="S11" s="71">
        <f t="shared" si="10"/>
        <v>10160.44</v>
      </c>
      <c r="T11" s="72">
        <f>Chiro!R12</f>
        <v>0</v>
      </c>
      <c r="U11" s="133">
        <v>0</v>
      </c>
      <c r="V11" s="133">
        <v>675</v>
      </c>
      <c r="W11" s="73">
        <f t="shared" si="0"/>
        <v>9485.44</v>
      </c>
      <c r="X11" s="74">
        <f t="shared" si="1"/>
        <v>0.68652092977473611</v>
      </c>
      <c r="Y11" s="41">
        <f t="shared" si="7"/>
        <v>137.47014492753624</v>
      </c>
      <c r="Z11" s="75">
        <f t="shared" si="8"/>
        <v>0</v>
      </c>
      <c r="AA11" s="76">
        <f t="shared" si="9"/>
        <v>0</v>
      </c>
    </row>
    <row r="12" spans="1:27" ht="12.75" customHeight="1" x14ac:dyDescent="0.25">
      <c r="A12" s="19">
        <v>7</v>
      </c>
      <c r="B12" s="38">
        <v>2</v>
      </c>
      <c r="C12" s="68">
        <v>2</v>
      </c>
      <c r="D12" s="40">
        <f t="shared" si="2"/>
        <v>1</v>
      </c>
      <c r="E12" s="68">
        <v>0</v>
      </c>
      <c r="F12" s="40">
        <f t="shared" si="3"/>
        <v>0</v>
      </c>
      <c r="G12" s="39">
        <v>0</v>
      </c>
      <c r="H12" s="40">
        <f t="shared" si="11"/>
        <v>0</v>
      </c>
      <c r="I12" s="40" t="e">
        <f t="shared" si="4"/>
        <v>#DIV/0!</v>
      </c>
      <c r="J12" s="39">
        <v>0</v>
      </c>
      <c r="K12" s="69">
        <f>Stats!B12+Chiro!H13+TRT!G12+SDT!G12+Laser!G12+US!G12+Massage!E12+'X-Ray'!E12+SHP!G12+RLT!G12+EWOT!G12+PEMF!G12</f>
        <v>50</v>
      </c>
      <c r="L12" s="69">
        <f>Stats!C12+Chiro!I13+TRT!H12+SDT!H12+Laser!H12+US!H12+Massage!F12+'X-Ray'!F12+SHP!H12+RLT!H12+EWOT!H12+PEMF!H12</f>
        <v>58</v>
      </c>
      <c r="M12" s="40">
        <f t="shared" si="5"/>
        <v>1.1599999999999999</v>
      </c>
      <c r="N12" s="70">
        <v>10481.959999999999</v>
      </c>
      <c r="O12" s="41">
        <f t="shared" si="6"/>
        <v>180.72344827586204</v>
      </c>
      <c r="P12" s="71">
        <f>Chiro!N13+Chiro!O13</f>
        <v>2232.88</v>
      </c>
      <c r="Q12" s="71">
        <f>Chiro!P13+Chiro!Q13+TRT!Q12+SDT!Q12+SHP!K12+RLT!K12+EWOT!K12+PEMF!K12+Laser!L12+US!L12+'X-Ray'!O12+Massage!M12</f>
        <v>5808</v>
      </c>
      <c r="R12" s="72">
        <v>0</v>
      </c>
      <c r="S12" s="71">
        <f t="shared" si="10"/>
        <v>8040.88</v>
      </c>
      <c r="T12" s="72">
        <f>Chiro!R13</f>
        <v>0</v>
      </c>
      <c r="U12" s="133">
        <v>0</v>
      </c>
      <c r="V12" s="133">
        <v>0</v>
      </c>
      <c r="W12" s="73">
        <f t="shared" si="0"/>
        <v>8040.88</v>
      </c>
      <c r="X12" s="74">
        <f t="shared" si="1"/>
        <v>0.76711607371140522</v>
      </c>
      <c r="Y12" s="41">
        <f t="shared" si="7"/>
        <v>138.63586206896551</v>
      </c>
      <c r="Z12" s="75">
        <f t="shared" si="8"/>
        <v>0</v>
      </c>
      <c r="AA12" s="76">
        <f t="shared" si="9"/>
        <v>0</v>
      </c>
    </row>
    <row r="13" spans="1:27" ht="12.75" customHeight="1" x14ac:dyDescent="0.25">
      <c r="A13" s="19">
        <v>8</v>
      </c>
      <c r="B13" s="38">
        <v>5</v>
      </c>
      <c r="C13" s="68">
        <v>5</v>
      </c>
      <c r="D13" s="40">
        <f t="shared" si="2"/>
        <v>1</v>
      </c>
      <c r="E13" s="68">
        <v>0</v>
      </c>
      <c r="F13" s="40">
        <f t="shared" si="3"/>
        <v>0</v>
      </c>
      <c r="G13" s="39">
        <v>0</v>
      </c>
      <c r="H13" s="40">
        <f t="shared" si="11"/>
        <v>0</v>
      </c>
      <c r="I13" s="40" t="e">
        <f t="shared" si="4"/>
        <v>#DIV/0!</v>
      </c>
      <c r="J13" s="39">
        <v>0</v>
      </c>
      <c r="K13" s="69">
        <f>Stats!B13+Chiro!H14+TRT!G13+SDT!G13+Laser!G13+US!G13+Massage!E13+'X-Ray'!E13+SHP!G13+RLT!G13+EWOT!G13+PEMF!G13</f>
        <v>47</v>
      </c>
      <c r="L13" s="69">
        <f>Stats!C13+Chiro!I14+TRT!H13+SDT!H13+Laser!H13+US!H13+Massage!F13+'X-Ray'!F13+SHP!H13+RLT!H13+EWOT!H13+PEMF!H13</f>
        <v>54</v>
      </c>
      <c r="M13" s="40">
        <f t="shared" si="5"/>
        <v>1.1489361702127661</v>
      </c>
      <c r="N13" s="70">
        <v>8447.48</v>
      </c>
      <c r="O13" s="41">
        <f t="shared" si="6"/>
        <v>156.43481481481481</v>
      </c>
      <c r="P13" s="71">
        <f>Chiro!N14+Chiro!O14</f>
        <v>2052.48</v>
      </c>
      <c r="Q13" s="71">
        <f>Chiro!P14+Chiro!Q14+TRT!Q13+SDT!Q13+SHP!K13+RLT!K13+EWOT!K13+PEMF!K13+Laser!L13+US!L13+'X-Ray'!O13+Massage!M13</f>
        <v>3074</v>
      </c>
      <c r="R13" s="72">
        <v>0</v>
      </c>
      <c r="S13" s="71">
        <f t="shared" si="10"/>
        <v>5126.4799999999996</v>
      </c>
      <c r="T13" s="72">
        <f>Chiro!R14</f>
        <v>0</v>
      </c>
      <c r="U13" s="133">
        <v>0</v>
      </c>
      <c r="V13" s="133">
        <v>529</v>
      </c>
      <c r="W13" s="73">
        <f t="shared" si="0"/>
        <v>4597.4799999999996</v>
      </c>
      <c r="X13" s="74">
        <f t="shared" si="1"/>
        <v>0.54424278009536564</v>
      </c>
      <c r="Y13" s="41">
        <f t="shared" si="7"/>
        <v>85.138518518518509</v>
      </c>
      <c r="Z13" s="75">
        <f t="shared" si="8"/>
        <v>0</v>
      </c>
      <c r="AA13" s="76">
        <f t="shared" si="9"/>
        <v>0</v>
      </c>
    </row>
    <row r="14" spans="1:27" ht="12.75" customHeight="1" x14ac:dyDescent="0.25">
      <c r="A14" s="19">
        <v>9</v>
      </c>
      <c r="B14" s="38">
        <v>1</v>
      </c>
      <c r="C14" s="68">
        <v>0</v>
      </c>
      <c r="D14" s="40">
        <f t="shared" si="2"/>
        <v>0</v>
      </c>
      <c r="E14" s="68">
        <v>0</v>
      </c>
      <c r="F14" s="40" t="e">
        <f t="shared" si="3"/>
        <v>#DIV/0!</v>
      </c>
      <c r="G14" s="39">
        <v>0</v>
      </c>
      <c r="H14" s="40" t="e">
        <f t="shared" si="11"/>
        <v>#DIV/0!</v>
      </c>
      <c r="I14" s="40" t="e">
        <f t="shared" si="4"/>
        <v>#DIV/0!</v>
      </c>
      <c r="J14" s="39">
        <v>1</v>
      </c>
      <c r="K14" s="69">
        <f>Stats!B14+Chiro!H15+TRT!G14+SDT!G14+Laser!G14+US!G14+Massage!E14+'X-Ray'!E14+SHP!G14+RLT!G14+EWOT!G14+PEMF!G14</f>
        <v>64</v>
      </c>
      <c r="L14" s="69">
        <f>Stats!C14+Chiro!I15+TRT!H14+SDT!H14+Laser!H14+US!H14+Massage!F14+'X-Ray'!F14+SHP!H14+RLT!H14+EWOT!H14+PEMF!H14</f>
        <v>68</v>
      </c>
      <c r="M14" s="40">
        <f t="shared" si="5"/>
        <v>1.0625</v>
      </c>
      <c r="N14" s="70">
        <v>13253.96</v>
      </c>
      <c r="O14" s="41">
        <f t="shared" si="6"/>
        <v>194.91117647058823</v>
      </c>
      <c r="P14" s="71">
        <f>Chiro!N15+Chiro!O15</f>
        <v>3232.88</v>
      </c>
      <c r="Q14" s="71">
        <f>Chiro!P15+Chiro!Q15+TRT!Q14+SDT!Q14+SHP!K14+RLT!K14+EWOT!K14+PEMF!K14+Laser!L14+US!L14+'X-Ray'!O14+Massage!M14</f>
        <v>5654</v>
      </c>
      <c r="R14" s="72">
        <v>50</v>
      </c>
      <c r="S14" s="71">
        <f>Q14+R14+P14</f>
        <v>8936.880000000001</v>
      </c>
      <c r="T14" s="72">
        <f>Chiro!R15</f>
        <v>0</v>
      </c>
      <c r="U14" s="133">
        <v>0</v>
      </c>
      <c r="V14" s="133">
        <v>2095</v>
      </c>
      <c r="W14" s="73">
        <f>S14+T14-U14-V14</f>
        <v>6841.880000000001</v>
      </c>
      <c r="X14" s="74">
        <f t="shared" si="1"/>
        <v>0.51621402207340306</v>
      </c>
      <c r="Y14" s="41">
        <f t="shared" si="7"/>
        <v>100.61588235294118</v>
      </c>
      <c r="Z14" s="75">
        <f t="shared" si="8"/>
        <v>0</v>
      </c>
      <c r="AA14" s="76">
        <f t="shared" si="9"/>
        <v>0</v>
      </c>
    </row>
    <row r="15" spans="1:27" ht="12.75" customHeight="1" x14ac:dyDescent="0.25">
      <c r="A15" s="19">
        <v>10</v>
      </c>
      <c r="B15" s="38"/>
      <c r="C15" s="68"/>
      <c r="D15" s="40"/>
      <c r="E15" s="68"/>
      <c r="F15" s="40"/>
      <c r="G15" s="39"/>
      <c r="H15" s="40"/>
      <c r="I15" s="40"/>
      <c r="J15" s="39"/>
      <c r="K15" s="69"/>
      <c r="L15" s="69"/>
      <c r="M15" s="40"/>
      <c r="N15" s="70"/>
      <c r="O15" s="41"/>
      <c r="P15" s="71">
        <f>Chiro!N16+Chiro!O16</f>
        <v>0</v>
      </c>
      <c r="Q15" s="71">
        <f>Chiro!P16+Chiro!Q16+TRT!Q15+SDT!Q15+SHP!K15+RLT!K15+EWOT!K15+PEMF!K15+Laser!L15+US!L15+'X-Ray'!O15+Massage!M15</f>
        <v>400</v>
      </c>
      <c r="R15" s="72">
        <v>0</v>
      </c>
      <c r="S15" s="71">
        <f t="shared" si="10"/>
        <v>400</v>
      </c>
      <c r="T15" s="72">
        <f>Chiro!R16</f>
        <v>0</v>
      </c>
      <c r="U15" s="133">
        <v>0</v>
      </c>
      <c r="V15" s="133">
        <v>0</v>
      </c>
      <c r="W15" s="73">
        <f>S15+T15-U15-V15</f>
        <v>400</v>
      </c>
      <c r="X15" s="74" t="e">
        <f t="shared" si="1"/>
        <v>#DIV/0!</v>
      </c>
      <c r="Y15" s="41">
        <f t="shared" si="7"/>
        <v>0</v>
      </c>
      <c r="Z15" s="75">
        <f t="shared" si="8"/>
        <v>0</v>
      </c>
      <c r="AA15" s="76">
        <f t="shared" si="9"/>
        <v>0</v>
      </c>
    </row>
    <row r="16" spans="1:27" ht="12.75" customHeight="1" x14ac:dyDescent="0.25">
      <c r="A16" s="19">
        <v>11</v>
      </c>
      <c r="B16" s="38"/>
      <c r="C16" s="68"/>
      <c r="D16" s="40"/>
      <c r="E16" s="68"/>
      <c r="F16" s="40"/>
      <c r="G16" s="39"/>
      <c r="H16" s="40"/>
      <c r="I16" s="40"/>
      <c r="J16" s="39"/>
      <c r="K16" s="69"/>
      <c r="L16" s="69"/>
      <c r="M16" s="40"/>
      <c r="N16" s="70"/>
      <c r="O16" s="41"/>
      <c r="P16" s="71">
        <f>Chiro!N17+Chiro!O17</f>
        <v>0</v>
      </c>
      <c r="Q16" s="71">
        <f>Chiro!P17+Chiro!Q17+TRT!Q16+SDT!Q16+SHP!K16+RLT!K16+EWOT!K16+PEMF!K16+Laser!L16+US!L16+'X-Ray'!O16+Massage!M16</f>
        <v>0</v>
      </c>
      <c r="R16" s="72">
        <v>0</v>
      </c>
      <c r="S16" s="71">
        <f t="shared" si="10"/>
        <v>0</v>
      </c>
      <c r="T16" s="72">
        <f>Chiro!R17</f>
        <v>0</v>
      </c>
      <c r="U16" s="133">
        <v>0</v>
      </c>
      <c r="V16" s="133">
        <v>0</v>
      </c>
      <c r="W16" s="73">
        <f>S16+T16-U16-V16</f>
        <v>0</v>
      </c>
      <c r="X16" s="74" t="e">
        <f t="shared" si="1"/>
        <v>#DIV/0!</v>
      </c>
      <c r="Y16" s="41">
        <f t="shared" si="7"/>
        <v>0</v>
      </c>
      <c r="Z16" s="75">
        <f t="shared" si="8"/>
        <v>0</v>
      </c>
      <c r="AA16" s="76">
        <f t="shared" si="9"/>
        <v>0</v>
      </c>
    </row>
    <row r="17" spans="1:27" ht="12.75" customHeight="1" x14ac:dyDescent="0.25">
      <c r="A17" s="19">
        <v>12</v>
      </c>
      <c r="B17" s="38"/>
      <c r="C17" s="68"/>
      <c r="D17" s="40"/>
      <c r="E17" s="68"/>
      <c r="F17" s="40"/>
      <c r="G17" s="39"/>
      <c r="H17" s="40"/>
      <c r="I17" s="40"/>
      <c r="J17" s="39"/>
      <c r="K17" s="69"/>
      <c r="L17" s="69"/>
      <c r="M17" s="40"/>
      <c r="N17" s="70"/>
      <c r="O17" s="41"/>
      <c r="P17" s="71">
        <f>Chiro!N18+Chiro!O18</f>
        <v>0</v>
      </c>
      <c r="Q17" s="71">
        <f>Chiro!P18+Chiro!Q18+TRT!Q17+SDT!Q17+SHP!K17+RLT!K17+EWOT!K17+PEMF!K17+Laser!L17+US!L17+'X-Ray'!O17+Massage!M17</f>
        <v>0</v>
      </c>
      <c r="R17" s="72">
        <v>0</v>
      </c>
      <c r="S17" s="71">
        <f t="shared" si="10"/>
        <v>0</v>
      </c>
      <c r="T17" s="72">
        <f>Chiro!R18</f>
        <v>0</v>
      </c>
      <c r="U17" s="133">
        <v>0</v>
      </c>
      <c r="V17" s="133">
        <v>0</v>
      </c>
      <c r="W17" s="73">
        <f t="shared" si="0"/>
        <v>0</v>
      </c>
      <c r="X17" s="74" t="e">
        <f t="shared" si="1"/>
        <v>#DIV/0!</v>
      </c>
      <c r="Y17" s="41">
        <f t="shared" si="7"/>
        <v>0</v>
      </c>
      <c r="Z17" s="75">
        <f t="shared" si="8"/>
        <v>0</v>
      </c>
      <c r="AA17" s="76">
        <f t="shared" si="9"/>
        <v>0</v>
      </c>
    </row>
    <row r="18" spans="1:27" ht="12.75" customHeight="1" x14ac:dyDescent="0.25">
      <c r="A18" s="19">
        <v>13</v>
      </c>
      <c r="B18" s="38">
        <v>1</v>
      </c>
      <c r="C18" s="68">
        <v>1</v>
      </c>
      <c r="D18" s="40">
        <f t="shared" si="2"/>
        <v>1</v>
      </c>
      <c r="E18" s="68">
        <v>1</v>
      </c>
      <c r="F18" s="40">
        <f t="shared" si="3"/>
        <v>1</v>
      </c>
      <c r="G18" s="39">
        <v>1</v>
      </c>
      <c r="H18" s="40">
        <f t="shared" si="11"/>
        <v>1</v>
      </c>
      <c r="I18" s="40">
        <f t="shared" si="4"/>
        <v>1</v>
      </c>
      <c r="J18" s="39">
        <v>2</v>
      </c>
      <c r="K18" s="69">
        <f>Stats!B18+Chiro!H19+TRT!G18+SDT!G18+Laser!G18+US!G18+Massage!E18+'X-Ray'!E18+SHP!G18+RLT!G18+EWOT!G18+PEMF!G18</f>
        <v>65</v>
      </c>
      <c r="L18" s="69">
        <f>Stats!C18+Chiro!I19+TRT!H18+SDT!H18+Laser!H18+US!H18+Massage!F18+'X-Ray'!F18+SHP!H18+RLT!H18+EWOT!H18+PEMF!H18</f>
        <v>76</v>
      </c>
      <c r="M18" s="40">
        <f t="shared" si="5"/>
        <v>1.1692307692307693</v>
      </c>
      <c r="N18" s="70">
        <v>12453.68</v>
      </c>
      <c r="O18" s="41">
        <f t="shared" si="6"/>
        <v>163.86421052631579</v>
      </c>
      <c r="P18" s="71">
        <f>Chiro!N19+Chiro!O19</f>
        <v>1990.3600000000001</v>
      </c>
      <c r="Q18" s="71">
        <f>Chiro!P19+Chiro!Q19+TRT!Q18+SDT!Q18+SHP!K18+RLT!K18+EWOT!K18+PEMF!K18+Laser!L18+US!L18+'X-Ray'!O18+Massage!M18</f>
        <v>5260</v>
      </c>
      <c r="R18" s="72">
        <v>195</v>
      </c>
      <c r="S18" s="71">
        <f t="shared" si="10"/>
        <v>7445.3600000000006</v>
      </c>
      <c r="T18" s="72">
        <f>Chiro!R19</f>
        <v>0</v>
      </c>
      <c r="U18" s="133">
        <v>0</v>
      </c>
      <c r="V18" s="133">
        <v>800</v>
      </c>
      <c r="W18" s="73">
        <f t="shared" si="0"/>
        <v>6645.3600000000006</v>
      </c>
      <c r="X18" s="74">
        <f t="shared" si="1"/>
        <v>0.53360613087858366</v>
      </c>
      <c r="Y18" s="41">
        <f t="shared" si="7"/>
        <v>87.438947368421054</v>
      </c>
      <c r="Z18" s="75">
        <f t="shared" si="8"/>
        <v>6645.3600000000006</v>
      </c>
      <c r="AA18" s="76">
        <f t="shared" si="9"/>
        <v>76</v>
      </c>
    </row>
    <row r="19" spans="1:27" ht="12.75" customHeight="1" x14ac:dyDescent="0.25">
      <c r="A19" s="19">
        <v>14</v>
      </c>
      <c r="B19" s="38">
        <v>0</v>
      </c>
      <c r="C19" s="68">
        <v>0</v>
      </c>
      <c r="D19" s="40">
        <f t="shared" si="2"/>
        <v>0</v>
      </c>
      <c r="E19" s="68">
        <v>1</v>
      </c>
      <c r="F19" s="40" t="e">
        <f t="shared" si="3"/>
        <v>#DIV/0!</v>
      </c>
      <c r="G19" s="39">
        <v>0</v>
      </c>
      <c r="H19" s="40" t="e">
        <f t="shared" si="11"/>
        <v>#DIV/0!</v>
      </c>
      <c r="I19" s="40">
        <f t="shared" si="4"/>
        <v>0</v>
      </c>
      <c r="J19" s="39">
        <v>0</v>
      </c>
      <c r="K19" s="69">
        <f>Stats!B19+Chiro!H20+TRT!G19+SDT!G19+Laser!G19+US!G19+Massage!E19+'X-Ray'!E19+SHP!G19+RLT!G19+EWOT!G19+PEMF!G19</f>
        <v>45</v>
      </c>
      <c r="L19" s="69">
        <f>Stats!C19+Chiro!I20+TRT!H19+SDT!H19+Laser!H19+US!H19+Massage!F19+'X-Ray'!F19+SHP!H19+RLT!H19+EWOT!H19+PEMF!H19</f>
        <v>55</v>
      </c>
      <c r="M19" s="40">
        <f t="shared" si="5"/>
        <v>1.2222222222222223</v>
      </c>
      <c r="N19" s="70">
        <v>11511.48</v>
      </c>
      <c r="O19" s="41">
        <f t="shared" si="6"/>
        <v>209.29963636363635</v>
      </c>
      <c r="P19" s="71">
        <f>Chiro!N20+Chiro!O20</f>
        <v>1452.48</v>
      </c>
      <c r="Q19" s="71">
        <f>Chiro!P20+Chiro!Q20+TRT!Q19+SDT!Q19+SHP!K19+RLT!K19+EWOT!K19+PEMF!K19+Laser!L19+US!L19+'X-Ray'!O19+Massage!M19</f>
        <v>6539</v>
      </c>
      <c r="R19" s="72">
        <v>0</v>
      </c>
      <c r="S19" s="71">
        <f t="shared" si="10"/>
        <v>7991.48</v>
      </c>
      <c r="T19" s="72">
        <f>Chiro!R20</f>
        <v>0</v>
      </c>
      <c r="U19" s="133">
        <v>0</v>
      </c>
      <c r="V19" s="133">
        <v>0</v>
      </c>
      <c r="W19" s="73">
        <f t="shared" si="0"/>
        <v>7991.48</v>
      </c>
      <c r="X19" s="74">
        <f t="shared" si="1"/>
        <v>0.69421829339059793</v>
      </c>
      <c r="Y19" s="41">
        <f t="shared" si="7"/>
        <v>145.29963636363635</v>
      </c>
      <c r="Z19" s="75">
        <f t="shared" si="8"/>
        <v>0</v>
      </c>
      <c r="AA19" s="76">
        <f t="shared" si="9"/>
        <v>0</v>
      </c>
    </row>
    <row r="20" spans="1:27" ht="12.75" customHeight="1" x14ac:dyDescent="0.25">
      <c r="A20" s="19">
        <v>15</v>
      </c>
      <c r="B20" s="38">
        <v>2</v>
      </c>
      <c r="C20" s="68">
        <v>2</v>
      </c>
      <c r="D20" s="40">
        <f t="shared" si="2"/>
        <v>1</v>
      </c>
      <c r="E20" s="68">
        <v>1</v>
      </c>
      <c r="F20" s="40">
        <f t="shared" si="3"/>
        <v>0.5</v>
      </c>
      <c r="G20" s="39">
        <v>0</v>
      </c>
      <c r="H20" s="40">
        <f t="shared" si="11"/>
        <v>0</v>
      </c>
      <c r="I20" s="40">
        <f t="shared" si="4"/>
        <v>0</v>
      </c>
      <c r="J20" s="39">
        <v>3</v>
      </c>
      <c r="K20" s="69">
        <f>Stats!B20+Chiro!H21+TRT!G20+SDT!G20+Laser!G20+US!G20+Massage!E20+'X-Ray'!E20+SHP!G20+RLT!G20+EWOT!G20+PEMF!G20</f>
        <v>68</v>
      </c>
      <c r="L20" s="69">
        <f>Stats!C20+Chiro!I21+TRT!H20+SDT!H20+Laser!H20+US!H20+Massage!F20+'X-Ray'!F20+SHP!H20+RLT!H20+EWOT!H20+PEMF!H20</f>
        <v>72</v>
      </c>
      <c r="M20" s="40">
        <f t="shared" si="5"/>
        <v>1.0588235294117647</v>
      </c>
      <c r="N20" s="70">
        <v>12242.28</v>
      </c>
      <c r="O20" s="41">
        <f t="shared" si="6"/>
        <v>170.03166666666667</v>
      </c>
      <c r="P20" s="71">
        <f>Chiro!N21+Chiro!O21</f>
        <v>2685.36</v>
      </c>
      <c r="Q20" s="71">
        <f>Chiro!P21+Chiro!Q21+TRT!Q20+SDT!Q20+SHP!K20+RLT!K20+EWOT!K20+PEMF!K20+Laser!L20+US!L20+'X-Ray'!O20+Massage!M20</f>
        <v>5034</v>
      </c>
      <c r="R20" s="72">
        <v>0</v>
      </c>
      <c r="S20" s="71">
        <f t="shared" si="10"/>
        <v>7719.3600000000006</v>
      </c>
      <c r="T20" s="72">
        <f>Chiro!R21</f>
        <v>0</v>
      </c>
      <c r="U20" s="133">
        <v>0</v>
      </c>
      <c r="V20" s="133">
        <v>635</v>
      </c>
      <c r="W20" s="73">
        <f t="shared" si="0"/>
        <v>7084.3600000000006</v>
      </c>
      <c r="X20" s="74">
        <f t="shared" si="1"/>
        <v>0.57867978840542778</v>
      </c>
      <c r="Y20" s="41">
        <f t="shared" si="7"/>
        <v>98.393888888888895</v>
      </c>
      <c r="Z20" s="75">
        <f t="shared" si="8"/>
        <v>0</v>
      </c>
      <c r="AA20" s="76">
        <f t="shared" si="9"/>
        <v>0</v>
      </c>
    </row>
    <row r="21" spans="1:27" ht="12.75" customHeight="1" x14ac:dyDescent="0.25">
      <c r="A21" s="19">
        <v>16</v>
      </c>
      <c r="B21" s="38">
        <v>3</v>
      </c>
      <c r="C21" s="68">
        <v>3</v>
      </c>
      <c r="D21" s="40">
        <f t="shared" si="2"/>
        <v>1</v>
      </c>
      <c r="E21" s="68">
        <v>1</v>
      </c>
      <c r="F21" s="40">
        <f t="shared" si="3"/>
        <v>0.33333333333333331</v>
      </c>
      <c r="G21" s="39">
        <v>1</v>
      </c>
      <c r="H21" s="40">
        <f t="shared" si="11"/>
        <v>0.33333333333333331</v>
      </c>
      <c r="I21" s="39">
        <f t="shared" si="4"/>
        <v>1</v>
      </c>
      <c r="J21" s="39">
        <v>2</v>
      </c>
      <c r="K21" s="69">
        <f>Stats!B21+Chiro!H22+TRT!G21+SDT!G21+Laser!G21+US!G21+Massage!E21+'X-Ray'!E21+SHP!G21+RLT!G21+EWOT!G21+PEMF!G21</f>
        <v>59</v>
      </c>
      <c r="L21" s="69">
        <f>Stats!C21+Chiro!I22+TRT!H21+SDT!H21+Laser!H21+US!H21+Massage!F21+'X-Ray'!F21+SHP!H21+RLT!H21+EWOT!H21+PEMF!H21</f>
        <v>64</v>
      </c>
      <c r="M21" s="40">
        <f t="shared" si="5"/>
        <v>1.0847457627118644</v>
      </c>
      <c r="N21" s="70">
        <v>14303.36</v>
      </c>
      <c r="O21" s="41">
        <f t="shared" si="6"/>
        <v>223.49</v>
      </c>
      <c r="P21" s="71">
        <f>Chiro!N22+Chiro!O22</f>
        <v>2533.2799999999997</v>
      </c>
      <c r="Q21" s="71">
        <f>Chiro!P22+Chiro!Q22+TRT!Q21+SDT!Q21+SHP!K21+RLT!K21+EWOT!K21+PEMF!K21+Laser!L21+US!L21+'X-Ray'!O21+Massage!M21</f>
        <v>8010</v>
      </c>
      <c r="R21" s="72">
        <v>1298</v>
      </c>
      <c r="S21" s="71">
        <f t="shared" si="10"/>
        <v>11841.279999999999</v>
      </c>
      <c r="T21" s="72">
        <f>Chiro!R22</f>
        <v>1056.48</v>
      </c>
      <c r="U21" s="133">
        <v>0</v>
      </c>
      <c r="V21" s="133">
        <v>1565</v>
      </c>
      <c r="W21" s="73">
        <f>S21+T21-U21-V21</f>
        <v>11332.759999999998</v>
      </c>
      <c r="X21" s="74">
        <f t="shared" si="1"/>
        <v>0.79231453308872868</v>
      </c>
      <c r="Y21" s="41">
        <f t="shared" si="7"/>
        <v>177.07437499999997</v>
      </c>
      <c r="Z21" s="75">
        <f t="shared" si="8"/>
        <v>11332.759999999998</v>
      </c>
      <c r="AA21" s="76">
        <f t="shared" si="9"/>
        <v>64</v>
      </c>
    </row>
    <row r="22" spans="1:27" ht="12.75" customHeight="1" x14ac:dyDescent="0.25">
      <c r="A22" s="19">
        <v>17</v>
      </c>
      <c r="B22" s="38"/>
      <c r="C22" s="68"/>
      <c r="D22" s="40"/>
      <c r="E22" s="68"/>
      <c r="F22" s="40"/>
      <c r="G22" s="39"/>
      <c r="H22" s="40"/>
      <c r="I22" s="40"/>
      <c r="J22" s="39"/>
      <c r="K22" s="69"/>
      <c r="L22" s="69"/>
      <c r="M22" s="40"/>
      <c r="N22" s="70"/>
      <c r="O22" s="41"/>
      <c r="P22" s="71">
        <f>Chiro!N23+Chiro!O23</f>
        <v>0</v>
      </c>
      <c r="Q22" s="71">
        <f>Chiro!P23+Chiro!Q23+TRT!Q22+SDT!Q22+SHP!K22+RLT!K22+EWOT!K22+PEMF!K22+Laser!L22+US!L22+'X-Ray'!O22+Massage!M22</f>
        <v>0</v>
      </c>
      <c r="R22" s="72">
        <v>0</v>
      </c>
      <c r="S22" s="71">
        <f t="shared" si="10"/>
        <v>0</v>
      </c>
      <c r="T22" s="72">
        <f>Chiro!R23</f>
        <v>0</v>
      </c>
      <c r="U22" s="133">
        <v>0</v>
      </c>
      <c r="V22" s="133">
        <v>0</v>
      </c>
      <c r="W22" s="73">
        <f>S22+T22-U22-V22</f>
        <v>0</v>
      </c>
      <c r="X22" s="74" t="e">
        <f t="shared" si="1"/>
        <v>#DIV/0!</v>
      </c>
      <c r="Y22" s="41">
        <f t="shared" si="7"/>
        <v>0</v>
      </c>
      <c r="Z22" s="75">
        <f t="shared" si="8"/>
        <v>0</v>
      </c>
      <c r="AA22" s="76">
        <f t="shared" si="9"/>
        <v>0</v>
      </c>
    </row>
    <row r="23" spans="1:27" ht="12.75" customHeight="1" x14ac:dyDescent="0.25">
      <c r="A23" s="19">
        <v>18</v>
      </c>
      <c r="B23" s="38"/>
      <c r="C23" s="68"/>
      <c r="D23" s="40"/>
      <c r="E23" s="68"/>
      <c r="F23" s="40"/>
      <c r="G23" s="39"/>
      <c r="H23" s="40"/>
      <c r="I23" s="40"/>
      <c r="J23" s="39"/>
      <c r="K23" s="69"/>
      <c r="L23" s="69"/>
      <c r="M23" s="40"/>
      <c r="N23" s="70"/>
      <c r="O23" s="41"/>
      <c r="P23" s="71">
        <f>Chiro!N24+Chiro!O24</f>
        <v>0</v>
      </c>
      <c r="Q23" s="71">
        <f>Chiro!P24+Chiro!Q24+TRT!Q23+SDT!Q23+SHP!K23+RLT!K23+EWOT!K23+PEMF!K23+Laser!L23+US!L23+'X-Ray'!O23+Massage!M23</f>
        <v>0</v>
      </c>
      <c r="R23" s="72">
        <v>0</v>
      </c>
      <c r="S23" s="71">
        <f t="shared" si="10"/>
        <v>0</v>
      </c>
      <c r="T23" s="72">
        <f>Chiro!R24</f>
        <v>0</v>
      </c>
      <c r="U23" s="133">
        <v>0</v>
      </c>
      <c r="V23" s="133">
        <v>0</v>
      </c>
      <c r="W23" s="73">
        <f>S23+T23-U23-V23</f>
        <v>0</v>
      </c>
      <c r="X23" s="74" t="e">
        <f t="shared" si="1"/>
        <v>#DIV/0!</v>
      </c>
      <c r="Y23" s="41">
        <f t="shared" si="7"/>
        <v>0</v>
      </c>
      <c r="Z23" s="75">
        <f t="shared" si="8"/>
        <v>0</v>
      </c>
      <c r="AA23" s="76">
        <f t="shared" si="9"/>
        <v>0</v>
      </c>
    </row>
    <row r="24" spans="1:27" ht="12.75" customHeight="1" x14ac:dyDescent="0.25">
      <c r="A24" s="19">
        <v>19</v>
      </c>
      <c r="B24" s="38"/>
      <c r="C24" s="68"/>
      <c r="D24" s="40"/>
      <c r="E24" s="68"/>
      <c r="F24" s="40"/>
      <c r="G24" s="39"/>
      <c r="H24" s="40"/>
      <c r="I24" s="40"/>
      <c r="J24" s="39"/>
      <c r="K24" s="69"/>
      <c r="L24" s="69"/>
      <c r="M24" s="40"/>
      <c r="N24" s="70"/>
      <c r="O24" s="41"/>
      <c r="P24" s="71">
        <f>Chiro!N25+Chiro!O25</f>
        <v>0</v>
      </c>
      <c r="Q24" s="71">
        <f>Chiro!P25+Chiro!Q25+TRT!Q24+SDT!Q24+SHP!K24+RLT!K24+EWOT!K24+PEMF!K24+Laser!L24+US!L24+'X-Ray'!O24+Massage!M24</f>
        <v>799</v>
      </c>
      <c r="R24" s="72">
        <v>0</v>
      </c>
      <c r="S24" s="71">
        <f t="shared" si="10"/>
        <v>799</v>
      </c>
      <c r="T24" s="72">
        <f>Chiro!R25</f>
        <v>0</v>
      </c>
      <c r="U24" s="133">
        <v>0</v>
      </c>
      <c r="V24" s="133">
        <v>0</v>
      </c>
      <c r="W24" s="73">
        <f t="shared" si="0"/>
        <v>799</v>
      </c>
      <c r="X24" s="74" t="e">
        <f t="shared" si="1"/>
        <v>#DIV/0!</v>
      </c>
      <c r="Y24" s="41">
        <f t="shared" si="7"/>
        <v>0</v>
      </c>
      <c r="Z24" s="75">
        <f t="shared" si="8"/>
        <v>0</v>
      </c>
      <c r="AA24" s="76">
        <f t="shared" si="9"/>
        <v>0</v>
      </c>
    </row>
    <row r="25" spans="1:27" ht="12.75" customHeight="1" x14ac:dyDescent="0.25">
      <c r="A25" s="19">
        <v>20</v>
      </c>
      <c r="B25" s="38">
        <v>2</v>
      </c>
      <c r="C25" s="68">
        <v>1</v>
      </c>
      <c r="D25" s="40">
        <f t="shared" si="2"/>
        <v>0.5</v>
      </c>
      <c r="E25" s="68">
        <v>0</v>
      </c>
      <c r="F25" s="40">
        <f t="shared" si="3"/>
        <v>0</v>
      </c>
      <c r="G25" s="39">
        <v>0</v>
      </c>
      <c r="H25" s="40">
        <f t="shared" si="11"/>
        <v>0</v>
      </c>
      <c r="I25" s="40" t="e">
        <f t="shared" si="4"/>
        <v>#DIV/0!</v>
      </c>
      <c r="J25" s="39">
        <v>0</v>
      </c>
      <c r="K25" s="69">
        <f>Stats!B25+Chiro!H26+TRT!G25+SDT!G25+Laser!G25+US!G25+Massage!E25+'X-Ray'!E25+SHP!G25+RLT!G25+EWOT!G25+PEMF!G25</f>
        <v>66</v>
      </c>
      <c r="L25" s="69">
        <f>Stats!C25+Chiro!I26+TRT!H25+SDT!H25+Laser!H25+US!H25+Massage!F25+'X-Ray'!F25+SHP!H25+RLT!H25+EWOT!H25+PEMF!H25</f>
        <v>76</v>
      </c>
      <c r="M25" s="40">
        <f t="shared" si="5"/>
        <v>1.1515151515151516</v>
      </c>
      <c r="N25" s="70">
        <v>8238.52</v>
      </c>
      <c r="O25" s="41">
        <f t="shared" si="6"/>
        <v>108.40157894736842</v>
      </c>
      <c r="P25" s="71">
        <f>Chiro!N26+Chiro!O26</f>
        <v>2290.3599999999997</v>
      </c>
      <c r="Q25" s="71">
        <f>Chiro!P26+Chiro!Q26+TRT!Q25+SDT!Q25+SHP!K25+RLT!K25+EWOT!K25+PEMF!K25+Laser!L25+US!L25+'X-Ray'!O25+Massage!M25</f>
        <v>1934</v>
      </c>
      <c r="R25" s="72">
        <v>0</v>
      </c>
      <c r="S25" s="71">
        <f t="shared" si="10"/>
        <v>4224.3599999999997</v>
      </c>
      <c r="T25" s="72">
        <f>Chiro!R26</f>
        <v>0</v>
      </c>
      <c r="U25" s="133">
        <v>0</v>
      </c>
      <c r="V25" s="133">
        <v>250</v>
      </c>
      <c r="W25" s="73">
        <f t="shared" si="0"/>
        <v>3974.3599999999997</v>
      </c>
      <c r="X25" s="74">
        <f t="shared" si="1"/>
        <v>0.48241188951413599</v>
      </c>
      <c r="Y25" s="41">
        <f t="shared" si="7"/>
        <v>52.294210526315787</v>
      </c>
      <c r="Z25" s="75">
        <f t="shared" si="8"/>
        <v>0</v>
      </c>
      <c r="AA25" s="76">
        <f t="shared" si="9"/>
        <v>0</v>
      </c>
    </row>
    <row r="26" spans="1:27" ht="12.75" customHeight="1" x14ac:dyDescent="0.25">
      <c r="A26" s="19">
        <v>21</v>
      </c>
      <c r="B26" s="38">
        <v>2</v>
      </c>
      <c r="C26" s="68">
        <v>1</v>
      </c>
      <c r="D26" s="40">
        <f t="shared" si="2"/>
        <v>0.5</v>
      </c>
      <c r="E26" s="68">
        <v>0</v>
      </c>
      <c r="F26" s="40">
        <f t="shared" si="3"/>
        <v>0</v>
      </c>
      <c r="G26" s="39">
        <v>0</v>
      </c>
      <c r="H26" s="40">
        <f t="shared" si="11"/>
        <v>0</v>
      </c>
      <c r="I26" s="40" t="e">
        <f t="shared" si="4"/>
        <v>#DIV/0!</v>
      </c>
      <c r="J26" s="39">
        <v>0</v>
      </c>
      <c r="K26" s="69">
        <f>Stats!B26+Chiro!H27+TRT!G26+SDT!G26+Laser!G26+US!G26+Massage!E26+'X-Ray'!E26+SHP!G26+RLT!G26+EWOT!G26+PEMF!G26</f>
        <v>46</v>
      </c>
      <c r="L26" s="69">
        <f>Stats!C26+Chiro!I27+TRT!H26+SDT!H26+Laser!H26+US!H26+Massage!F26+'X-Ray'!F26+SHP!H26+RLT!H26+EWOT!H26+PEMF!H26</f>
        <v>50</v>
      </c>
      <c r="M26" s="40">
        <f t="shared" si="5"/>
        <v>1.0869565217391304</v>
      </c>
      <c r="N26" s="70">
        <v>8044.96</v>
      </c>
      <c r="O26" s="41">
        <f t="shared" si="6"/>
        <v>160.89920000000001</v>
      </c>
      <c r="P26" s="71">
        <f>Chiro!N27+Chiro!O27</f>
        <v>1404.96</v>
      </c>
      <c r="Q26" s="71">
        <f>Chiro!P27+Chiro!Q27+TRT!Q26+SDT!Q26+SHP!K26+RLT!K26+EWOT!K26+PEMF!K26+Laser!L26+US!L26+'X-Ray'!O26+Massage!M26</f>
        <v>3038.33</v>
      </c>
      <c r="R26" s="72">
        <v>95</v>
      </c>
      <c r="S26" s="71">
        <f t="shared" si="10"/>
        <v>4538.29</v>
      </c>
      <c r="T26" s="72">
        <f>Chiro!R27</f>
        <v>0</v>
      </c>
      <c r="U26" s="133">
        <v>0</v>
      </c>
      <c r="V26" s="133">
        <v>325</v>
      </c>
      <c r="W26" s="73">
        <f t="shared" si="0"/>
        <v>4213.29</v>
      </c>
      <c r="X26" s="74">
        <f t="shared" si="1"/>
        <v>0.52371795509238084</v>
      </c>
      <c r="Y26" s="41">
        <f t="shared" si="7"/>
        <v>84.265799999999999</v>
      </c>
      <c r="Z26" s="75">
        <f t="shared" si="8"/>
        <v>0</v>
      </c>
      <c r="AA26" s="76">
        <f t="shared" si="9"/>
        <v>0</v>
      </c>
    </row>
    <row r="27" spans="1:27" ht="12.75" customHeight="1" x14ac:dyDescent="0.25">
      <c r="A27" s="19">
        <v>22</v>
      </c>
      <c r="B27" s="38">
        <v>0</v>
      </c>
      <c r="C27" s="68">
        <v>0</v>
      </c>
      <c r="D27" s="40">
        <f t="shared" si="2"/>
        <v>0</v>
      </c>
      <c r="E27" s="68">
        <v>0</v>
      </c>
      <c r="F27" s="40" t="e">
        <f t="shared" si="3"/>
        <v>#DIV/0!</v>
      </c>
      <c r="G27" s="39">
        <v>0</v>
      </c>
      <c r="H27" s="40" t="e">
        <f t="shared" si="11"/>
        <v>#DIV/0!</v>
      </c>
      <c r="I27" s="40" t="e">
        <f t="shared" si="4"/>
        <v>#DIV/0!</v>
      </c>
      <c r="J27" s="39">
        <v>0</v>
      </c>
      <c r="K27" s="69">
        <f>Stats!B27+Chiro!H28+TRT!G27+SDT!G27+Laser!G27+US!G27+Massage!E27+'X-Ray'!E27+SHP!G27+RLT!G27+EWOT!G27+PEMF!G27</f>
        <v>46</v>
      </c>
      <c r="L27" s="69">
        <f>Stats!C27+Chiro!I28+TRT!H27+SDT!H27+Laser!H27+US!H27+Massage!F27+'X-Ray'!F27+SHP!H27+RLT!H27+EWOT!H27+PEMF!H27</f>
        <v>49</v>
      </c>
      <c r="M27" s="40">
        <f t="shared" si="5"/>
        <v>1.0652173913043479</v>
      </c>
      <c r="N27" s="70">
        <v>13313.64</v>
      </c>
      <c r="O27" s="41">
        <f t="shared" si="6"/>
        <v>271.7069387755102</v>
      </c>
      <c r="P27" s="71">
        <f>Chiro!N28+Chiro!O28</f>
        <v>1301.6399999999999</v>
      </c>
      <c r="Q27" s="71">
        <f>Chiro!P28+Chiro!Q28+TRT!Q27+SDT!Q27+SHP!K27+RLT!K27+EWOT!K27+PEMF!K27+Laser!L27+US!L27+'X-Ray'!O27+Massage!M27</f>
        <v>3670.34</v>
      </c>
      <c r="R27" s="72">
        <v>1695</v>
      </c>
      <c r="S27" s="71">
        <f t="shared" si="10"/>
        <v>6666.98</v>
      </c>
      <c r="T27" s="72">
        <f>Chiro!R28</f>
        <v>0</v>
      </c>
      <c r="U27" s="133">
        <v>0</v>
      </c>
      <c r="V27" s="133">
        <v>824</v>
      </c>
      <c r="W27" s="73">
        <f t="shared" si="0"/>
        <v>5842.98</v>
      </c>
      <c r="X27" s="74">
        <f t="shared" si="1"/>
        <v>0.43887171352087029</v>
      </c>
      <c r="Y27" s="41">
        <f t="shared" si="7"/>
        <v>119.24448979591835</v>
      </c>
      <c r="Z27" s="75">
        <f t="shared" si="8"/>
        <v>0</v>
      </c>
      <c r="AA27" s="76">
        <f t="shared" si="9"/>
        <v>0</v>
      </c>
    </row>
    <row r="28" spans="1:27" ht="12.75" customHeight="1" x14ac:dyDescent="0.25">
      <c r="A28" s="19">
        <v>23</v>
      </c>
      <c r="B28" s="38">
        <v>0</v>
      </c>
      <c r="C28" s="68">
        <v>0</v>
      </c>
      <c r="D28" s="40">
        <f t="shared" si="2"/>
        <v>0</v>
      </c>
      <c r="E28" s="68">
        <v>0</v>
      </c>
      <c r="F28" s="40" t="e">
        <f t="shared" si="3"/>
        <v>#DIV/0!</v>
      </c>
      <c r="G28" s="39">
        <v>0</v>
      </c>
      <c r="H28" s="40" t="e">
        <f t="shared" si="11"/>
        <v>#DIV/0!</v>
      </c>
      <c r="I28" s="40" t="e">
        <f t="shared" si="4"/>
        <v>#DIV/0!</v>
      </c>
      <c r="J28" s="39">
        <v>0</v>
      </c>
      <c r="K28" s="69">
        <f>Stats!B28+Chiro!H29+TRT!G28+SDT!G28+Laser!G28+US!G28+Massage!E28+'X-Ray'!E28+SHP!G28+RLT!G28+EWOT!G28+PEMF!G28</f>
        <v>52</v>
      </c>
      <c r="L28" s="69">
        <f>Stats!C28+Chiro!I29+TRT!H28+SDT!H28+Laser!H28+US!H28+Massage!F28+'X-Ray'!F28+SHP!H28+RLT!H28+EWOT!H28+PEMF!H28</f>
        <v>54</v>
      </c>
      <c r="M28" s="40">
        <f t="shared" si="5"/>
        <v>1.0384615384615385</v>
      </c>
      <c r="N28" s="70">
        <v>12314.24</v>
      </c>
      <c r="O28" s="41">
        <f t="shared" si="6"/>
        <v>228.04148148148147</v>
      </c>
      <c r="P28" s="71">
        <f>Chiro!N29+Chiro!O29</f>
        <v>1637.8000000000002</v>
      </c>
      <c r="Q28" s="71">
        <f>Chiro!P29+Chiro!Q29+TRT!Q28+SDT!Q28+SHP!K28+RLT!K28+EWOT!K28+PEMF!K28+Laser!L28+US!L28+'X-Ray'!O28+Massage!M28</f>
        <v>6880</v>
      </c>
      <c r="R28" s="72">
        <v>182.2</v>
      </c>
      <c r="S28" s="71">
        <f t="shared" si="10"/>
        <v>8700</v>
      </c>
      <c r="T28" s="72">
        <f>Chiro!R29</f>
        <v>0</v>
      </c>
      <c r="U28" s="133">
        <v>0</v>
      </c>
      <c r="V28" s="133">
        <v>775</v>
      </c>
      <c r="W28" s="73">
        <f>S28+T28-U28-V28</f>
        <v>7925</v>
      </c>
      <c r="X28" s="74">
        <f t="shared" si="1"/>
        <v>0.64356387401902193</v>
      </c>
      <c r="Y28" s="41">
        <f t="shared" si="7"/>
        <v>146.75925925925927</v>
      </c>
      <c r="Z28" s="75">
        <f t="shared" si="8"/>
        <v>0</v>
      </c>
      <c r="AA28" s="76">
        <f t="shared" si="9"/>
        <v>0</v>
      </c>
    </row>
    <row r="29" spans="1:27" ht="12.75" customHeight="1" x14ac:dyDescent="0.25">
      <c r="A29" s="19">
        <v>24</v>
      </c>
      <c r="B29" s="38"/>
      <c r="C29" s="68"/>
      <c r="D29" s="40"/>
      <c r="E29" s="68"/>
      <c r="F29" s="40"/>
      <c r="G29" s="39"/>
      <c r="H29" s="40"/>
      <c r="I29" s="40"/>
      <c r="J29" s="39"/>
      <c r="K29" s="69"/>
      <c r="L29" s="69"/>
      <c r="M29" s="40"/>
      <c r="N29" s="70"/>
      <c r="O29" s="41"/>
      <c r="P29" s="71">
        <f>Chiro!N30+Chiro!O30</f>
        <v>0</v>
      </c>
      <c r="Q29" s="71">
        <f>Chiro!P30+Chiro!Q30+TRT!Q29+SDT!Q29+SHP!K29+RLT!K29+EWOT!K29+PEMF!K29+Laser!L29+US!L29+'X-Ray'!O29+Massage!M29</f>
        <v>200</v>
      </c>
      <c r="R29" s="72">
        <v>0</v>
      </c>
      <c r="S29" s="71">
        <f t="shared" si="10"/>
        <v>200</v>
      </c>
      <c r="T29" s="72">
        <f>Chiro!R30</f>
        <v>0</v>
      </c>
      <c r="U29" s="133">
        <v>0</v>
      </c>
      <c r="V29" s="133">
        <v>0</v>
      </c>
      <c r="W29" s="73">
        <f t="shared" si="0"/>
        <v>200</v>
      </c>
      <c r="X29" s="74" t="e">
        <f t="shared" si="1"/>
        <v>#DIV/0!</v>
      </c>
      <c r="Y29" s="41">
        <f t="shared" si="7"/>
        <v>0</v>
      </c>
      <c r="Z29" s="75">
        <f t="shared" si="8"/>
        <v>0</v>
      </c>
      <c r="AA29" s="76">
        <f t="shared" si="9"/>
        <v>0</v>
      </c>
    </row>
    <row r="30" spans="1:27" ht="12.75" customHeight="1" x14ac:dyDescent="0.25">
      <c r="A30" s="19">
        <v>25</v>
      </c>
      <c r="B30" s="38"/>
      <c r="C30" s="68"/>
      <c r="D30" s="40"/>
      <c r="E30" s="68"/>
      <c r="F30" s="40"/>
      <c r="G30" s="39"/>
      <c r="H30" s="40"/>
      <c r="I30" s="40"/>
      <c r="J30" s="39"/>
      <c r="K30" s="69"/>
      <c r="L30" s="69"/>
      <c r="M30" s="40"/>
      <c r="N30" s="70"/>
      <c r="O30" s="41"/>
      <c r="P30" s="71">
        <f>Chiro!N31+Chiro!O31</f>
        <v>0</v>
      </c>
      <c r="Q30" s="71">
        <f>Chiro!P31+Chiro!Q31+TRT!Q30+SDT!Q30+SHP!K30+RLT!K30+EWOT!K30+PEMF!K30+Laser!L30+US!L30+'X-Ray'!O30+Massage!M30</f>
        <v>700</v>
      </c>
      <c r="R30" s="72">
        <v>0</v>
      </c>
      <c r="S30" s="71">
        <f t="shared" si="10"/>
        <v>700</v>
      </c>
      <c r="T30" s="72">
        <f>Chiro!R31</f>
        <v>0</v>
      </c>
      <c r="U30" s="133">
        <v>0</v>
      </c>
      <c r="V30" s="133">
        <v>0</v>
      </c>
      <c r="W30" s="73">
        <f t="shared" si="0"/>
        <v>700</v>
      </c>
      <c r="X30" s="74" t="e">
        <f t="shared" si="1"/>
        <v>#DIV/0!</v>
      </c>
      <c r="Y30" s="41">
        <f t="shared" si="7"/>
        <v>0</v>
      </c>
      <c r="Z30" s="75">
        <f t="shared" si="8"/>
        <v>0</v>
      </c>
      <c r="AA30" s="76">
        <f t="shared" si="9"/>
        <v>0</v>
      </c>
    </row>
    <row r="31" spans="1:27" ht="12.75" customHeight="1" x14ac:dyDescent="0.25">
      <c r="A31" s="19">
        <v>26</v>
      </c>
      <c r="B31" s="38"/>
      <c r="C31" s="68"/>
      <c r="D31" s="40"/>
      <c r="E31" s="68"/>
      <c r="F31" s="40"/>
      <c r="G31" s="39"/>
      <c r="H31" s="40"/>
      <c r="I31" s="40"/>
      <c r="J31" s="39"/>
      <c r="K31" s="69"/>
      <c r="L31" s="69"/>
      <c r="M31" s="40"/>
      <c r="N31" s="70"/>
      <c r="O31" s="41"/>
      <c r="P31" s="71">
        <f>Chiro!N32+Chiro!O32</f>
        <v>0</v>
      </c>
      <c r="Q31" s="71">
        <f>Chiro!P32+Chiro!Q32+TRT!Q31+SDT!Q31+SHP!K31+RLT!K31+EWOT!K31+PEMF!K31+Laser!L31+US!L31+'X-Ray'!O31+Massage!M31</f>
        <v>0</v>
      </c>
      <c r="R31" s="72">
        <v>0</v>
      </c>
      <c r="S31" s="71">
        <f t="shared" si="10"/>
        <v>0</v>
      </c>
      <c r="T31" s="72">
        <f>Chiro!R32</f>
        <v>0</v>
      </c>
      <c r="U31" s="133">
        <v>0</v>
      </c>
      <c r="V31" s="133">
        <v>0</v>
      </c>
      <c r="W31" s="73">
        <f t="shared" si="0"/>
        <v>0</v>
      </c>
      <c r="X31" s="74" t="e">
        <f t="shared" si="1"/>
        <v>#DIV/0!</v>
      </c>
      <c r="Y31" s="41">
        <f t="shared" si="7"/>
        <v>0</v>
      </c>
      <c r="Z31" s="75">
        <f t="shared" si="8"/>
        <v>0</v>
      </c>
      <c r="AA31" s="76">
        <f t="shared" si="9"/>
        <v>0</v>
      </c>
    </row>
    <row r="32" spans="1:27" ht="12.75" customHeight="1" x14ac:dyDescent="0.25">
      <c r="A32" s="19">
        <v>27</v>
      </c>
      <c r="B32" s="38">
        <v>1</v>
      </c>
      <c r="C32" s="68">
        <v>1</v>
      </c>
      <c r="D32" s="40">
        <f t="shared" si="2"/>
        <v>1</v>
      </c>
      <c r="E32" s="68">
        <v>0</v>
      </c>
      <c r="F32" s="40">
        <f t="shared" si="3"/>
        <v>0</v>
      </c>
      <c r="G32" s="39">
        <v>0</v>
      </c>
      <c r="H32" s="40">
        <f t="shared" si="11"/>
        <v>0</v>
      </c>
      <c r="I32" s="40" t="e">
        <f t="shared" si="4"/>
        <v>#DIV/0!</v>
      </c>
      <c r="J32" s="39">
        <v>0</v>
      </c>
      <c r="K32" s="69">
        <f>Stats!B32+Chiro!H33+TRT!G32+SDT!G32+Laser!G32+US!G32+Massage!E32+'X-Ray'!E32+SHP!G32+RLT!G32+EWOT!G32+PEMF!G32</f>
        <v>72</v>
      </c>
      <c r="L32" s="69">
        <f>Stats!C32+Chiro!I33+TRT!H32+SDT!H32+Laser!H32+US!H32+Massage!F32+'X-Ray'!F32+SHP!H32+RLT!H32+EWOT!H32+PEMF!H32</f>
        <v>71</v>
      </c>
      <c r="M32" s="40">
        <f t="shared" si="5"/>
        <v>0.98611111111111116</v>
      </c>
      <c r="N32" s="70">
        <v>9596.44</v>
      </c>
      <c r="O32" s="41">
        <f t="shared" si="6"/>
        <v>135.16112676056338</v>
      </c>
      <c r="P32" s="71">
        <f>Chiro!N33+Chiro!O33</f>
        <v>2290.3599999999997</v>
      </c>
      <c r="Q32" s="71">
        <f>Chiro!P33+Chiro!Q33+TRT!Q32+SDT!Q32+SHP!K32+RLT!K32+EWOT!K32+PEMF!K32+Laser!L32+US!L32+'X-Ray'!O32+Massage!M32</f>
        <v>3294</v>
      </c>
      <c r="R32" s="72">
        <v>0</v>
      </c>
      <c r="S32" s="71">
        <f t="shared" si="10"/>
        <v>5584.36</v>
      </c>
      <c r="T32" s="72">
        <f>Chiro!R33</f>
        <v>0</v>
      </c>
      <c r="U32" s="133">
        <v>0</v>
      </c>
      <c r="V32" s="133">
        <v>142.08000000000001</v>
      </c>
      <c r="W32" s="73">
        <f t="shared" si="0"/>
        <v>5442.28</v>
      </c>
      <c r="X32" s="74">
        <f t="shared" si="1"/>
        <v>0.5671144716165577</v>
      </c>
      <c r="Y32" s="41">
        <f t="shared" si="7"/>
        <v>76.651830985915495</v>
      </c>
      <c r="Z32" s="75">
        <f t="shared" si="8"/>
        <v>0</v>
      </c>
      <c r="AA32" s="76">
        <f t="shared" si="9"/>
        <v>0</v>
      </c>
    </row>
    <row r="33" spans="1:27" ht="12.75" customHeight="1" x14ac:dyDescent="0.25">
      <c r="A33" s="19">
        <v>28</v>
      </c>
      <c r="B33" s="38">
        <v>0</v>
      </c>
      <c r="C33" s="68">
        <v>0</v>
      </c>
      <c r="D33" s="40">
        <f t="shared" si="2"/>
        <v>0</v>
      </c>
      <c r="E33" s="68">
        <v>0</v>
      </c>
      <c r="F33" s="40" t="e">
        <f t="shared" si="3"/>
        <v>#DIV/0!</v>
      </c>
      <c r="G33" s="39">
        <v>0</v>
      </c>
      <c r="H33" s="40" t="e">
        <f t="shared" si="11"/>
        <v>#DIV/0!</v>
      </c>
      <c r="I33" s="40" t="e">
        <f t="shared" si="4"/>
        <v>#DIV/0!</v>
      </c>
      <c r="J33" s="39">
        <v>1</v>
      </c>
      <c r="K33" s="69">
        <f>Stats!B33+Chiro!H34+TRT!G33+SDT!G33+Laser!G33+US!G33+Massage!E33+'X-Ray'!E33+SHP!G33+RLT!G33+EWOT!G33+PEMF!G33</f>
        <v>44</v>
      </c>
      <c r="L33" s="69">
        <f>Stats!C33+Chiro!I34+TRT!H33+SDT!H33+Laser!H33+US!H33+Massage!F33+'X-Ray'!F33+SHP!H33+RLT!H33+EWOT!H33+PEMF!H33</f>
        <v>49</v>
      </c>
      <c r="M33" s="40">
        <f t="shared" si="5"/>
        <v>1.1136363636363635</v>
      </c>
      <c r="N33" s="70">
        <v>6759.4</v>
      </c>
      <c r="O33" s="41">
        <f t="shared" si="6"/>
        <v>137.9469387755102</v>
      </c>
      <c r="P33" s="71">
        <f>Chiro!N34+Chiro!O34</f>
        <v>1695.4</v>
      </c>
      <c r="Q33" s="71">
        <f>Chiro!P34+Chiro!Q34+TRT!Q33+SDT!Q33+SHP!K33+RLT!K33+EWOT!K33+PEMF!K33+Laser!L33+US!L33+'X-Ray'!O33+Massage!M33</f>
        <v>2414</v>
      </c>
      <c r="R33" s="72">
        <v>0</v>
      </c>
      <c r="S33" s="71">
        <f t="shared" si="10"/>
        <v>4109.3999999999996</v>
      </c>
      <c r="T33" s="72">
        <f>Chiro!R34</f>
        <v>0</v>
      </c>
      <c r="U33" s="133">
        <v>0</v>
      </c>
      <c r="V33" s="133">
        <v>505</v>
      </c>
      <c r="W33" s="73">
        <f t="shared" si="0"/>
        <v>3604.3999999999996</v>
      </c>
      <c r="X33" s="74">
        <f t="shared" si="1"/>
        <v>0.53324259549664166</v>
      </c>
      <c r="Y33" s="41">
        <f t="shared" si="7"/>
        <v>73.559183673469377</v>
      </c>
      <c r="Z33" s="75">
        <f t="shared" si="8"/>
        <v>0</v>
      </c>
      <c r="AA33" s="76">
        <f t="shared" si="9"/>
        <v>0</v>
      </c>
    </row>
    <row r="34" spans="1:27" ht="12.75" customHeight="1" x14ac:dyDescent="0.25">
      <c r="A34" s="19">
        <v>29</v>
      </c>
      <c r="B34" s="38">
        <v>0</v>
      </c>
      <c r="C34" s="68">
        <v>0</v>
      </c>
      <c r="D34" s="40">
        <f t="shared" si="2"/>
        <v>0</v>
      </c>
      <c r="E34" s="68">
        <v>0</v>
      </c>
      <c r="F34" s="40" t="e">
        <f t="shared" si="3"/>
        <v>#DIV/0!</v>
      </c>
      <c r="G34" s="39">
        <v>0</v>
      </c>
      <c r="H34" s="40" t="e">
        <f t="shared" si="11"/>
        <v>#DIV/0!</v>
      </c>
      <c r="I34" s="40" t="e">
        <f t="shared" si="4"/>
        <v>#DIV/0!</v>
      </c>
      <c r="J34" s="39">
        <v>0</v>
      </c>
      <c r="K34" s="69">
        <f>Stats!B34+Chiro!H35+TRT!G34+SDT!G34+Laser!G34+US!G34+Massage!E34+'X-Ray'!E34+SHP!G34+RLT!G34+EWOT!G34+PEMF!G34</f>
        <v>56</v>
      </c>
      <c r="L34" s="69">
        <f>Stats!C34+Chiro!I35+TRT!H34+SDT!H34+Laser!H34+US!H34+Massage!F34+'X-Ray'!F34+SHP!H34+RLT!H34+EWOT!H34+PEMF!H34</f>
        <v>58</v>
      </c>
      <c r="M34" s="40">
        <f t="shared" si="5"/>
        <v>1.0357142857142858</v>
      </c>
      <c r="N34" s="70">
        <v>9547.0400000000009</v>
      </c>
      <c r="O34" s="41">
        <f t="shared" si="6"/>
        <v>164.6041379310345</v>
      </c>
      <c r="P34" s="71">
        <f>Chiro!N35+Chiro!O35</f>
        <v>1805.96</v>
      </c>
      <c r="Q34" s="71">
        <f>Chiro!P35+Chiro!Q35+TRT!Q34+SDT!Q34+SHP!K34+RLT!K34+EWOT!K34+PEMF!K34+Laser!L34+US!L34+'X-Ray'!O34+Massage!M34</f>
        <v>1341.67</v>
      </c>
      <c r="R34" s="72">
        <v>0</v>
      </c>
      <c r="S34" s="71">
        <f t="shared" si="10"/>
        <v>3147.63</v>
      </c>
      <c r="T34" s="72">
        <f>Chiro!R35</f>
        <v>0</v>
      </c>
      <c r="U34" s="133">
        <v>0</v>
      </c>
      <c r="V34" s="133">
        <v>0</v>
      </c>
      <c r="W34" s="73">
        <f t="shared" si="0"/>
        <v>3147.63</v>
      </c>
      <c r="X34" s="74">
        <f t="shared" si="1"/>
        <v>0.32969695319177461</v>
      </c>
      <c r="Y34" s="41">
        <f t="shared" si="7"/>
        <v>54.26948275862069</v>
      </c>
      <c r="Z34" s="75">
        <f t="shared" si="8"/>
        <v>0</v>
      </c>
      <c r="AA34" s="76">
        <f t="shared" si="9"/>
        <v>0</v>
      </c>
    </row>
    <row r="35" spans="1:27" ht="12.75" customHeight="1" x14ac:dyDescent="0.25">
      <c r="A35" s="19">
        <v>30</v>
      </c>
      <c r="B35" s="38">
        <v>0</v>
      </c>
      <c r="C35" s="68">
        <v>0</v>
      </c>
      <c r="D35" s="40">
        <f t="shared" si="2"/>
        <v>0</v>
      </c>
      <c r="E35" s="68">
        <v>0</v>
      </c>
      <c r="F35" s="40" t="e">
        <f t="shared" si="3"/>
        <v>#DIV/0!</v>
      </c>
      <c r="G35" s="39">
        <v>0</v>
      </c>
      <c r="H35" s="40" t="e">
        <f t="shared" si="11"/>
        <v>#DIV/0!</v>
      </c>
      <c r="I35" s="40" t="e">
        <f t="shared" si="4"/>
        <v>#DIV/0!</v>
      </c>
      <c r="J35" s="39">
        <v>1</v>
      </c>
      <c r="K35" s="69">
        <f>Stats!B35+Chiro!H36+TRT!G35+SDT!G35+Laser!G35+US!G35+Massage!E35+'X-Ray'!E35+SHP!G35+RLT!G35+EWOT!G35+PEMF!G35</f>
        <v>50</v>
      </c>
      <c r="L35" s="69">
        <f>Stats!C35+Chiro!I36+TRT!H35+SDT!H35+Laser!H35+US!H35+Massage!F35+'X-Ray'!F35+SHP!H35+RLT!H35+EWOT!H35+PEMF!H35</f>
        <v>59</v>
      </c>
      <c r="M35" s="40">
        <f t="shared" si="5"/>
        <v>1.18</v>
      </c>
      <c r="N35" s="70">
        <v>12560.2</v>
      </c>
      <c r="O35" s="41">
        <f t="shared" si="6"/>
        <v>212.88474576271187</v>
      </c>
      <c r="P35" s="71">
        <f>Chiro!N36+Chiro!O36</f>
        <v>1679.12</v>
      </c>
      <c r="Q35" s="71">
        <f>Chiro!P36+Chiro!Q36+TRT!Q35+SDT!Q35+SHP!K35+RLT!K35+EWOT!K35+PEMF!K35+Laser!L35+US!L35+'X-Ray'!O35+Massage!M35</f>
        <v>6814.5</v>
      </c>
      <c r="R35" s="72">
        <v>600</v>
      </c>
      <c r="S35" s="71">
        <f t="shared" si="10"/>
        <v>9093.619999999999</v>
      </c>
      <c r="T35" s="72">
        <f>Chiro!R36</f>
        <v>0</v>
      </c>
      <c r="U35" s="133">
        <v>200</v>
      </c>
      <c r="V35" s="133">
        <v>2193</v>
      </c>
      <c r="W35" s="73">
        <f t="shared" si="0"/>
        <v>6700.619999999999</v>
      </c>
      <c r="X35" s="129">
        <f t="shared" si="1"/>
        <v>0.5334803585930159</v>
      </c>
      <c r="Y35" s="41">
        <f t="shared" si="7"/>
        <v>113.56983050847455</v>
      </c>
      <c r="Z35" s="75">
        <f t="shared" si="8"/>
        <v>0</v>
      </c>
      <c r="AA35" s="76">
        <f t="shared" si="9"/>
        <v>0</v>
      </c>
    </row>
    <row r="36" spans="1:27" ht="12.75" customHeight="1" x14ac:dyDescent="0.25">
      <c r="A36" s="19">
        <v>31</v>
      </c>
      <c r="B36" s="38"/>
      <c r="C36" s="68"/>
      <c r="D36" s="40"/>
      <c r="E36" s="68"/>
      <c r="F36" s="40"/>
      <c r="G36" s="39"/>
      <c r="H36" s="40"/>
      <c r="I36" s="40"/>
      <c r="J36" s="39"/>
      <c r="K36" s="69"/>
      <c r="L36" s="69"/>
      <c r="M36" s="40"/>
      <c r="N36" s="70"/>
      <c r="O36" s="41"/>
      <c r="P36" s="71">
        <f>Chiro!N37+Chiro!O37</f>
        <v>0</v>
      </c>
      <c r="Q36" s="71">
        <f>Chiro!P37+Chiro!Q37+TRT!Q36+SDT!Q36+SHP!K36+RLT!K36+EWOT!K36+PEMF!K36+Laser!L36+US!L36+'X-Ray'!O36+Massage!M36</f>
        <v>200</v>
      </c>
      <c r="R36" s="72">
        <v>0</v>
      </c>
      <c r="S36" s="71">
        <f t="shared" si="10"/>
        <v>200</v>
      </c>
      <c r="T36" s="72">
        <f>Chiro!R37</f>
        <v>0</v>
      </c>
      <c r="U36" s="133">
        <v>0</v>
      </c>
      <c r="V36" s="133">
        <v>0</v>
      </c>
      <c r="W36" s="131">
        <f t="shared" si="0"/>
        <v>200</v>
      </c>
      <c r="X36" s="132" t="e">
        <f t="shared" si="1"/>
        <v>#DIV/0!</v>
      </c>
      <c r="Y36" s="41">
        <f t="shared" si="7"/>
        <v>0</v>
      </c>
      <c r="Z36" s="75">
        <f t="shared" si="8"/>
        <v>0</v>
      </c>
      <c r="AA36" s="76">
        <f t="shared" si="9"/>
        <v>0</v>
      </c>
    </row>
    <row r="37" spans="1:27" ht="12" customHeight="1" x14ac:dyDescent="0.25">
      <c r="A37" s="9" t="s">
        <v>28</v>
      </c>
      <c r="B37" s="10">
        <f>SUM(B6:B36)</f>
        <v>21</v>
      </c>
      <c r="C37" s="77">
        <f>SUM(C6:C36)</f>
        <v>17</v>
      </c>
      <c r="D37" s="78">
        <f t="shared" ref="D37:D38" si="12">IFERROR((C37/B37),0)</f>
        <v>0.80952380952380953</v>
      </c>
      <c r="E37" s="77">
        <f>SUM(E6:E36)</f>
        <v>4</v>
      </c>
      <c r="F37" s="78">
        <f>E37/C37</f>
        <v>0.23529411764705882</v>
      </c>
      <c r="G37" s="56">
        <f>SUM(G6:G36)</f>
        <v>2</v>
      </c>
      <c r="H37" s="56">
        <f t="shared" si="11"/>
        <v>0.11764705882352941</v>
      </c>
      <c r="I37" s="56">
        <f t="shared" si="4"/>
        <v>0.5</v>
      </c>
      <c r="J37" s="56">
        <f>SUM(J6:J36)</f>
        <v>10</v>
      </c>
      <c r="K37" s="77">
        <f>SUM(K6:K36)</f>
        <v>980</v>
      </c>
      <c r="L37" s="77">
        <f>SUM(L6:L36)</f>
        <v>1064</v>
      </c>
      <c r="M37" s="78">
        <f t="shared" ref="M37:M38" si="13">IFERROR((L37/K37),0)</f>
        <v>1.0857142857142856</v>
      </c>
      <c r="N37" s="13">
        <f>SUM(N6:N36)</f>
        <v>188798.2</v>
      </c>
      <c r="O37" s="13">
        <f t="shared" ref="O37:O38" si="14">N37/L37</f>
        <v>177.4419172932331</v>
      </c>
      <c r="P37" s="79">
        <f t="shared" ref="P37" si="15">SUM(P6:P36)</f>
        <v>35426.640000000007</v>
      </c>
      <c r="Q37" s="79">
        <f t="shared" ref="Q37:AA37" si="16">SUM(Q6:Q36)</f>
        <v>82852.84</v>
      </c>
      <c r="R37" s="79">
        <f t="shared" si="16"/>
        <v>4165.2</v>
      </c>
      <c r="S37" s="79">
        <f t="shared" si="16"/>
        <v>122444.67999999998</v>
      </c>
      <c r="T37" s="79">
        <f t="shared" si="16"/>
        <v>1056.48</v>
      </c>
      <c r="U37" s="134">
        <f t="shared" si="16"/>
        <v>200</v>
      </c>
      <c r="V37" s="134">
        <f>SUM(V6:V36)</f>
        <v>11743.08</v>
      </c>
      <c r="W37" s="79">
        <f t="shared" si="16"/>
        <v>111558.07999999997</v>
      </c>
      <c r="X37" s="130">
        <f t="shared" ref="X37:X38" si="17">W37/N37</f>
        <v>0.59088529445725635</v>
      </c>
      <c r="Y37" s="79">
        <f t="shared" si="16"/>
        <v>1744.9664649481006</v>
      </c>
      <c r="Z37" s="79">
        <f t="shared" si="16"/>
        <v>17978.12</v>
      </c>
      <c r="AA37" s="150">
        <f t="shared" si="16"/>
        <v>140</v>
      </c>
    </row>
    <row r="38" spans="1:27" ht="12.75" customHeight="1" x14ac:dyDescent="0.25">
      <c r="A38" s="9" t="s">
        <v>52</v>
      </c>
      <c r="B38" s="10">
        <f>B37/$B$39</f>
        <v>1.2352941176470589</v>
      </c>
      <c r="C38" s="77">
        <f>C37/$B$39</f>
        <v>1</v>
      </c>
      <c r="D38" s="78">
        <f t="shared" si="12"/>
        <v>0.80952380952380953</v>
      </c>
      <c r="E38" s="77">
        <f>E37/$B$39</f>
        <v>0.23529411764705882</v>
      </c>
      <c r="F38" s="78">
        <f>E38/C38</f>
        <v>0.23529411764705882</v>
      </c>
      <c r="G38" s="56">
        <f>G37/B39</f>
        <v>0.11764705882352941</v>
      </c>
      <c r="H38" s="56">
        <f>H37/B39</f>
        <v>6.920415224913495E-3</v>
      </c>
      <c r="I38" s="56">
        <f>I37/B39</f>
        <v>2.9411764705882353E-2</v>
      </c>
      <c r="J38" s="56">
        <f>J37/B39</f>
        <v>0.58823529411764708</v>
      </c>
      <c r="K38" s="77">
        <f>K37/$B$39</f>
        <v>57.647058823529413</v>
      </c>
      <c r="L38" s="77">
        <f>L37/$B$39</f>
        <v>62.588235294117645</v>
      </c>
      <c r="M38" s="78">
        <f t="shared" si="13"/>
        <v>1.0857142857142856</v>
      </c>
      <c r="N38" s="13">
        <f>N37/$B$39</f>
        <v>11105.776470588236</v>
      </c>
      <c r="O38" s="13">
        <f t="shared" si="14"/>
        <v>177.4419172932331</v>
      </c>
      <c r="P38" s="79">
        <f t="shared" ref="P38" si="18">P37/$B$39</f>
        <v>2083.9200000000005</v>
      </c>
      <c r="Q38" s="79">
        <f t="shared" ref="Q38:AA38" si="19">Q37/$B$39</f>
        <v>4873.6964705882347</v>
      </c>
      <c r="R38" s="79">
        <f t="shared" si="19"/>
        <v>245.01176470588234</v>
      </c>
      <c r="S38" s="79">
        <f t="shared" si="19"/>
        <v>7202.6282352941162</v>
      </c>
      <c r="T38" s="79">
        <f>T37/$B$39</f>
        <v>62.145882352941179</v>
      </c>
      <c r="U38" s="134">
        <f>U37/$B$39</f>
        <v>11.764705882352942</v>
      </c>
      <c r="V38" s="134">
        <f>V37/$B$39</f>
        <v>690.76941176470586</v>
      </c>
      <c r="W38" s="79">
        <f t="shared" si="19"/>
        <v>6562.239999999998</v>
      </c>
      <c r="X38" s="130">
        <f t="shared" si="17"/>
        <v>0.59088529445725624</v>
      </c>
      <c r="Y38" s="79">
        <f t="shared" si="19"/>
        <v>102.64508617341768</v>
      </c>
      <c r="Z38" s="79">
        <f t="shared" si="19"/>
        <v>1057.5364705882353</v>
      </c>
      <c r="AA38" s="150">
        <f t="shared" si="19"/>
        <v>8.235294117647058</v>
      </c>
    </row>
    <row r="39" spans="1:27" ht="12.75" customHeight="1" x14ac:dyDescent="0.25">
      <c r="A39" s="9" t="s">
        <v>53</v>
      </c>
      <c r="B39" s="2">
        <v>17</v>
      </c>
      <c r="C39" s="2"/>
      <c r="D39" s="3"/>
      <c r="E39" s="2"/>
      <c r="F39" s="3"/>
      <c r="K39" s="2"/>
      <c r="L39" s="2"/>
      <c r="M39" s="3"/>
      <c r="N39" s="12"/>
      <c r="O39" s="12"/>
      <c r="P39" s="12"/>
      <c r="Q39" s="12"/>
      <c r="R39" s="11"/>
      <c r="S39" s="12"/>
      <c r="T39" s="6"/>
      <c r="U39" s="12"/>
      <c r="V39" s="12"/>
      <c r="W39" s="3"/>
    </row>
    <row r="40" spans="1:27" ht="12.75" customHeight="1" x14ac:dyDescent="0.25">
      <c r="A40" s="9"/>
      <c r="B40" s="2"/>
      <c r="C40" s="2"/>
      <c r="D40" s="3"/>
      <c r="E40" s="2"/>
      <c r="F40" s="3"/>
      <c r="K40" s="2"/>
      <c r="L40" s="2"/>
      <c r="M40" s="3"/>
      <c r="N40" s="12"/>
      <c r="O40" s="12"/>
      <c r="P40" s="12"/>
      <c r="Q40" s="12"/>
      <c r="R40" s="11"/>
      <c r="S40" s="12"/>
      <c r="T40" s="6"/>
      <c r="U40" s="12"/>
      <c r="V40" s="12"/>
      <c r="W40" s="3"/>
    </row>
    <row r="41" spans="1:27" ht="12.75" customHeight="1" x14ac:dyDescent="0.25">
      <c r="A41" s="9"/>
      <c r="B41" s="2"/>
      <c r="C41" s="2"/>
      <c r="D41" s="3"/>
      <c r="E41" s="2"/>
      <c r="F41" s="3"/>
      <c r="K41" s="2"/>
      <c r="L41" s="2"/>
      <c r="M41" s="3"/>
      <c r="N41" s="12"/>
      <c r="O41" s="12"/>
      <c r="P41" s="12" t="s">
        <v>29</v>
      </c>
      <c r="Q41" s="12"/>
      <c r="R41" s="11"/>
      <c r="S41" s="12"/>
      <c r="T41" s="6"/>
      <c r="U41" s="12"/>
      <c r="V41" s="12"/>
      <c r="W41" s="3"/>
    </row>
    <row r="42" spans="1:27" ht="12.75" customHeight="1" x14ac:dyDescent="0.25">
      <c r="A42" s="9"/>
      <c r="B42" s="2"/>
      <c r="C42" s="2"/>
      <c r="D42" s="3"/>
      <c r="E42" s="2"/>
      <c r="F42" s="3"/>
      <c r="K42" s="2"/>
      <c r="L42" s="2"/>
      <c r="M42" s="3"/>
      <c r="N42" s="12"/>
      <c r="O42" s="12"/>
      <c r="P42" s="12"/>
      <c r="Q42" s="12"/>
      <c r="R42" s="11"/>
      <c r="S42" s="12"/>
      <c r="T42" s="6"/>
      <c r="U42" s="12"/>
      <c r="V42" s="12"/>
      <c r="W42" s="3"/>
    </row>
    <row r="43" spans="1:27" ht="12.75" customHeight="1" x14ac:dyDescent="0.25">
      <c r="A43" s="9"/>
      <c r="B43" s="2"/>
      <c r="C43" s="2"/>
      <c r="D43" s="3"/>
      <c r="E43" s="2"/>
      <c r="F43" s="3"/>
      <c r="K43" s="2"/>
      <c r="L43" s="2"/>
      <c r="M43" s="3"/>
      <c r="N43" s="12"/>
      <c r="O43" s="12"/>
      <c r="P43" s="12"/>
      <c r="Q43" s="12"/>
      <c r="R43" s="11"/>
      <c r="S43" s="12"/>
      <c r="T43" s="6"/>
      <c r="U43" s="12"/>
      <c r="V43" s="12"/>
      <c r="W43" s="3"/>
    </row>
    <row r="44" spans="1:27" ht="12.75" customHeight="1" x14ac:dyDescent="0.25">
      <c r="A44" s="9"/>
      <c r="B44" s="2"/>
      <c r="C44" s="2"/>
      <c r="D44" s="3"/>
      <c r="E44" s="2"/>
      <c r="F44" s="3"/>
      <c r="K44" s="2"/>
      <c r="L44" s="2"/>
      <c r="M44" s="3"/>
      <c r="N44" s="12"/>
      <c r="O44" s="12"/>
      <c r="P44" s="12"/>
      <c r="Q44" s="12"/>
      <c r="R44" s="11"/>
      <c r="S44" s="12"/>
      <c r="T44" s="6"/>
      <c r="U44" s="12"/>
      <c r="V44" s="12"/>
      <c r="W44" s="3"/>
    </row>
    <row r="45" spans="1:27" ht="12.75" customHeight="1" x14ac:dyDescent="0.25">
      <c r="A45" s="9"/>
      <c r="B45" s="2"/>
      <c r="C45" s="2"/>
      <c r="D45" s="3"/>
      <c r="E45" s="2"/>
      <c r="F45" s="3"/>
      <c r="K45" s="2"/>
      <c r="L45" s="2"/>
      <c r="M45" s="3"/>
      <c r="N45" s="12"/>
      <c r="O45" s="12"/>
      <c r="P45" s="12"/>
      <c r="Q45" s="12"/>
      <c r="R45" s="11"/>
      <c r="S45" s="12"/>
      <c r="T45" s="6"/>
      <c r="U45" s="12"/>
      <c r="V45" s="12"/>
      <c r="W45" s="3"/>
    </row>
    <row r="46" spans="1:27" ht="12.75" customHeight="1" x14ac:dyDescent="0.25">
      <c r="A46" s="9"/>
      <c r="B46" s="2" t="s">
        <v>29</v>
      </c>
      <c r="C46" s="2"/>
      <c r="D46" s="3"/>
      <c r="E46" s="2"/>
      <c r="F46" s="3"/>
      <c r="K46" s="2"/>
      <c r="L46" s="2"/>
      <c r="M46" s="3"/>
      <c r="N46" s="12"/>
      <c r="O46" s="12"/>
      <c r="P46" s="12"/>
      <c r="Q46" s="12"/>
      <c r="R46" s="11"/>
      <c r="S46" s="12"/>
      <c r="T46" s="6"/>
      <c r="U46" s="12"/>
      <c r="V46" s="12"/>
      <c r="W46" s="3"/>
    </row>
  </sheetData>
  <mergeCells count="2">
    <mergeCell ref="P3:R3"/>
    <mergeCell ref="V4:V5"/>
  </mergeCells>
  <dataValidations count="4">
    <dataValidation allowBlank="1" showInputMessage="1" showErrorMessage="1" prompt="Scheduled Day 1" sqref="B4" xr:uid="{5702B63D-F0FF-471A-BBDB-AF9B3D3C1976}"/>
    <dataValidation allowBlank="1" showInputMessage="1" showErrorMessage="1" prompt="Actual Day 1" sqref="C4" xr:uid="{9C8F37E8-9D2F-4F3B-B378-E0CE64E3648F}"/>
    <dataValidation type="list" allowBlank="1" showInputMessage="1" showErrorMessage="1" sqref="B2" xr:uid="{C597E7C5-2F3F-4837-A955-17CD922A0724}">
      <formula1>Months</formula1>
    </dataValidation>
    <dataValidation type="list" allowBlank="1" showInputMessage="1" showErrorMessage="1" sqref="C2" xr:uid="{E7637300-83E5-4D37-BDBC-6283BB32BCC6}">
      <formula1>Years</formula1>
    </dataValidation>
  </dataValidations>
  <hyperlinks>
    <hyperlink ref="D4" location="Stats!D4" tooltip="Scheduled to Actual Day 1 % rate" display="Sch/Act" xr:uid="{26ACDAB7-D1EF-4482-9268-D62D9A2541B0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3A95-3BCA-45DF-A87B-D5EB4180317F}">
  <dimension ref="A1:R1048576"/>
  <sheetViews>
    <sheetView topLeftCell="A3" zoomScale="80" zoomScaleNormal="80" workbookViewId="0">
      <selection activeCell="Q38" sqref="Q38"/>
    </sheetView>
  </sheetViews>
  <sheetFormatPr defaultColWidth="8.7109375" defaultRowHeight="15" x14ac:dyDescent="0.25"/>
  <cols>
    <col min="1" max="1" width="10.42578125" bestFit="1" customWidth="1"/>
    <col min="2" max="2" width="8.85546875" bestFit="1" customWidth="1"/>
    <col min="3" max="9" width="6.42578125" customWidth="1"/>
    <col min="10" max="10" width="8.42578125" bestFit="1" customWidth="1"/>
    <col min="11" max="11" width="7.140625" customWidth="1"/>
    <col min="12" max="12" width="12.28515625" bestFit="1" customWidth="1"/>
    <col min="13" max="14" width="11" bestFit="1" customWidth="1"/>
    <col min="15" max="15" width="12.28515625" bestFit="1" customWidth="1"/>
    <col min="16" max="16" width="11" bestFit="1" customWidth="1"/>
    <col min="17" max="17" width="12.28515625" bestFit="1" customWidth="1"/>
    <col min="18" max="18" width="11" bestFit="1" customWidth="1"/>
  </cols>
  <sheetData>
    <row r="1" spans="1:18" x14ac:dyDescent="0.25">
      <c r="A1" s="1" t="s">
        <v>12</v>
      </c>
      <c r="B1" s="2"/>
      <c r="C1" s="2"/>
      <c r="D1" s="3"/>
    </row>
    <row r="2" spans="1:18" ht="15.75" thickBot="1" x14ac:dyDescent="0.3">
      <c r="A2" s="7" t="s">
        <v>14</v>
      </c>
      <c r="B2" s="20" t="str">
        <f>Stats!B2</f>
        <v>January</v>
      </c>
      <c r="C2" s="21">
        <f>Stats!C2</f>
        <v>2025</v>
      </c>
      <c r="D2" s="7"/>
    </row>
    <row r="3" spans="1:18" x14ac:dyDescent="0.25">
      <c r="A3" s="166" t="s">
        <v>54</v>
      </c>
      <c r="B3" s="167"/>
      <c r="C3" s="167"/>
      <c r="D3" s="167"/>
      <c r="E3" s="167"/>
      <c r="F3" s="167"/>
      <c r="G3" s="168"/>
      <c r="H3" s="171" t="s">
        <v>16</v>
      </c>
      <c r="I3" s="172"/>
      <c r="J3" s="172"/>
      <c r="K3" s="173"/>
      <c r="L3" s="169" t="s">
        <v>26</v>
      </c>
      <c r="M3" s="170"/>
      <c r="N3" s="157" t="s">
        <v>55</v>
      </c>
      <c r="O3" s="158"/>
      <c r="P3" s="158"/>
      <c r="Q3" s="158"/>
      <c r="R3" s="159"/>
    </row>
    <row r="4" spans="1:18" x14ac:dyDescent="0.25">
      <c r="A4" s="162" t="s">
        <v>56</v>
      </c>
      <c r="B4" s="163"/>
      <c r="C4" s="163"/>
      <c r="D4" s="163"/>
      <c r="E4" s="163"/>
      <c r="F4" s="163"/>
      <c r="G4" s="139"/>
      <c r="H4" s="143"/>
      <c r="I4" s="136"/>
      <c r="J4" s="174"/>
      <c r="K4" s="175"/>
      <c r="L4" s="164"/>
      <c r="M4" s="165"/>
      <c r="N4" s="160" t="s">
        <v>57</v>
      </c>
      <c r="O4" s="161"/>
      <c r="P4" s="161"/>
      <c r="Q4" s="161"/>
      <c r="R4" s="137" t="s">
        <v>58</v>
      </c>
    </row>
    <row r="5" spans="1:18" x14ac:dyDescent="0.25">
      <c r="A5" s="109" t="s">
        <v>18</v>
      </c>
      <c r="B5" s="25" t="s">
        <v>19</v>
      </c>
      <c r="C5" s="25" t="s">
        <v>20</v>
      </c>
      <c r="D5" s="25" t="s">
        <v>19</v>
      </c>
      <c r="E5" s="25" t="s">
        <v>20</v>
      </c>
      <c r="F5" s="25" t="s">
        <v>19</v>
      </c>
      <c r="G5" s="140" t="s">
        <v>20</v>
      </c>
      <c r="H5" s="123" t="s">
        <v>19</v>
      </c>
      <c r="I5" s="28" t="s">
        <v>20</v>
      </c>
      <c r="J5" s="28" t="s">
        <v>25</v>
      </c>
      <c r="K5" s="144" t="s">
        <v>28</v>
      </c>
      <c r="L5" s="124" t="s">
        <v>28</v>
      </c>
      <c r="M5" s="146" t="s">
        <v>28</v>
      </c>
      <c r="N5" s="110" t="s">
        <v>59</v>
      </c>
      <c r="O5" s="111" t="s">
        <v>60</v>
      </c>
      <c r="P5" s="111" t="s">
        <v>61</v>
      </c>
      <c r="Q5" s="111" t="s">
        <v>62</v>
      </c>
      <c r="R5" s="112" t="s">
        <v>28</v>
      </c>
    </row>
    <row r="6" spans="1:18" x14ac:dyDescent="0.25">
      <c r="A6" s="109" t="s">
        <v>33</v>
      </c>
      <c r="B6" s="25" t="s">
        <v>63</v>
      </c>
      <c r="C6" s="25" t="s">
        <v>63</v>
      </c>
      <c r="D6" s="25" t="s">
        <v>58</v>
      </c>
      <c r="E6" s="25" t="s">
        <v>58</v>
      </c>
      <c r="F6" s="25" t="s">
        <v>64</v>
      </c>
      <c r="G6" s="140" t="s">
        <v>64</v>
      </c>
      <c r="H6" s="123" t="s">
        <v>25</v>
      </c>
      <c r="I6" s="28" t="s">
        <v>25</v>
      </c>
      <c r="J6" s="28" t="s">
        <v>23</v>
      </c>
      <c r="K6" s="144" t="s">
        <v>65</v>
      </c>
      <c r="L6" s="124" t="s">
        <v>63</v>
      </c>
      <c r="M6" s="146" t="s">
        <v>66</v>
      </c>
      <c r="N6" s="110" t="s">
        <v>63</v>
      </c>
      <c r="O6" s="111" t="s">
        <v>63</v>
      </c>
      <c r="P6" s="111" t="s">
        <v>66</v>
      </c>
      <c r="Q6" s="111" t="s">
        <v>67</v>
      </c>
      <c r="R6" s="112" t="s">
        <v>68</v>
      </c>
    </row>
    <row r="7" spans="1:18" x14ac:dyDescent="0.25">
      <c r="A7" s="113">
        <v>1</v>
      </c>
      <c r="B7" s="38"/>
      <c r="C7" s="38"/>
      <c r="D7" s="38"/>
      <c r="E7" s="38"/>
      <c r="F7" s="38"/>
      <c r="G7" s="141"/>
      <c r="H7" s="122"/>
      <c r="I7" s="38"/>
      <c r="J7" s="135"/>
      <c r="K7" s="147"/>
      <c r="L7" s="114"/>
      <c r="M7" s="115"/>
      <c r="N7" s="114"/>
      <c r="O7" s="41"/>
      <c r="P7" s="41"/>
      <c r="Q7" s="41"/>
      <c r="R7" s="115"/>
    </row>
    <row r="8" spans="1:18" x14ac:dyDescent="0.25">
      <c r="A8" s="113">
        <v>2</v>
      </c>
      <c r="B8" s="38">
        <v>50</v>
      </c>
      <c r="C8" s="38">
        <v>52</v>
      </c>
      <c r="D8" s="38">
        <v>0</v>
      </c>
      <c r="E8" s="38">
        <v>0</v>
      </c>
      <c r="F8" s="38">
        <v>4</v>
      </c>
      <c r="G8" s="141">
        <v>2</v>
      </c>
      <c r="H8" s="122">
        <f t="shared" ref="H8:H36" si="0">B8+D8+F8</f>
        <v>54</v>
      </c>
      <c r="I8" s="38">
        <f t="shared" ref="I8:I36" si="1">C8+E8+G8</f>
        <v>54</v>
      </c>
      <c r="J8" s="135">
        <f>I8/H8</f>
        <v>1</v>
      </c>
      <c r="K8" s="147">
        <v>62</v>
      </c>
      <c r="L8" s="114">
        <v>4012.88</v>
      </c>
      <c r="M8" s="115">
        <v>325</v>
      </c>
      <c r="N8" s="114">
        <v>462.88</v>
      </c>
      <c r="O8" s="41">
        <v>2121</v>
      </c>
      <c r="P8" s="41">
        <v>110</v>
      </c>
      <c r="Q8" s="41">
        <v>0</v>
      </c>
      <c r="R8" s="115">
        <v>0</v>
      </c>
    </row>
    <row r="9" spans="1:18" x14ac:dyDescent="0.25">
      <c r="A9" s="113">
        <v>3</v>
      </c>
      <c r="B9" s="38"/>
      <c r="C9" s="38"/>
      <c r="D9" s="38"/>
      <c r="E9" s="38"/>
      <c r="F9" s="38"/>
      <c r="G9" s="141"/>
      <c r="H9" s="122"/>
      <c r="I9" s="38"/>
      <c r="J9" s="135"/>
      <c r="K9" s="147"/>
      <c r="L9" s="114"/>
      <c r="M9" s="115"/>
      <c r="N9" s="114"/>
      <c r="O9" s="41"/>
      <c r="P9" s="41"/>
      <c r="Q9" s="41">
        <v>700</v>
      </c>
      <c r="R9" s="115"/>
    </row>
    <row r="10" spans="1:18" x14ac:dyDescent="0.25">
      <c r="A10" s="113">
        <v>4</v>
      </c>
      <c r="B10" s="38"/>
      <c r="C10" s="38"/>
      <c r="D10" s="38"/>
      <c r="E10" s="38"/>
      <c r="F10" s="38"/>
      <c r="G10" s="141"/>
      <c r="H10" s="122"/>
      <c r="I10" s="38"/>
      <c r="J10" s="135"/>
      <c r="K10" s="147"/>
      <c r="L10" s="114"/>
      <c r="M10" s="115"/>
      <c r="N10" s="114"/>
      <c r="O10" s="41"/>
      <c r="P10" s="41"/>
      <c r="Q10" s="41">
        <v>400</v>
      </c>
      <c r="R10" s="115"/>
    </row>
    <row r="11" spans="1:18" x14ac:dyDescent="0.25">
      <c r="A11" s="113">
        <v>5</v>
      </c>
      <c r="B11" s="38"/>
      <c r="C11" s="38"/>
      <c r="D11" s="38"/>
      <c r="E11" s="38"/>
      <c r="F11" s="38"/>
      <c r="G11" s="141"/>
      <c r="H11" s="122"/>
      <c r="I11" s="38"/>
      <c r="J11" s="135"/>
      <c r="K11" s="147"/>
      <c r="L11" s="114"/>
      <c r="M11" s="115"/>
      <c r="N11" s="114"/>
      <c r="O11" s="41"/>
      <c r="P11" s="41"/>
      <c r="Q11" s="41">
        <v>400</v>
      </c>
      <c r="R11" s="115"/>
    </row>
    <row r="12" spans="1:18" x14ac:dyDescent="0.25">
      <c r="A12" s="113">
        <v>6</v>
      </c>
      <c r="B12" s="38">
        <v>30</v>
      </c>
      <c r="C12" s="38">
        <v>37</v>
      </c>
      <c r="D12" s="38">
        <v>1</v>
      </c>
      <c r="E12" s="38">
        <v>1</v>
      </c>
      <c r="F12" s="38">
        <v>2</v>
      </c>
      <c r="G12" s="141">
        <v>3</v>
      </c>
      <c r="H12" s="122">
        <f t="shared" si="0"/>
        <v>33</v>
      </c>
      <c r="I12" s="38">
        <f t="shared" si="1"/>
        <v>41</v>
      </c>
      <c r="J12" s="135">
        <f t="shared" ref="J12:J36" si="2">I12/H12</f>
        <v>1.2424242424242424</v>
      </c>
      <c r="K12" s="147">
        <v>52</v>
      </c>
      <c r="L12" s="114">
        <v>3303.68</v>
      </c>
      <c r="M12" s="115">
        <v>415</v>
      </c>
      <c r="N12" s="114">
        <v>757.44</v>
      </c>
      <c r="O12" s="41">
        <v>1800</v>
      </c>
      <c r="P12" s="41">
        <v>265</v>
      </c>
      <c r="Q12" s="41">
        <v>2800</v>
      </c>
      <c r="R12" s="115">
        <v>0</v>
      </c>
    </row>
    <row r="13" spans="1:18" x14ac:dyDescent="0.25">
      <c r="A13" s="113">
        <v>7</v>
      </c>
      <c r="B13" s="38">
        <v>30</v>
      </c>
      <c r="C13" s="38">
        <v>37</v>
      </c>
      <c r="D13" s="38">
        <v>0</v>
      </c>
      <c r="E13" s="38">
        <v>0</v>
      </c>
      <c r="F13" s="38">
        <v>0</v>
      </c>
      <c r="G13" s="141">
        <v>0</v>
      </c>
      <c r="H13" s="122">
        <f t="shared" si="0"/>
        <v>30</v>
      </c>
      <c r="I13" s="38">
        <f t="shared" si="1"/>
        <v>37</v>
      </c>
      <c r="J13" s="135">
        <f t="shared" si="2"/>
        <v>1.2333333333333334</v>
      </c>
      <c r="K13" s="147">
        <v>44</v>
      </c>
      <c r="L13" s="114">
        <v>2874.96</v>
      </c>
      <c r="M13" s="115">
        <v>360</v>
      </c>
      <c r="N13" s="114">
        <v>504.96</v>
      </c>
      <c r="O13" s="41">
        <v>1727.92</v>
      </c>
      <c r="P13" s="41">
        <v>360</v>
      </c>
      <c r="Q13" s="41">
        <v>900</v>
      </c>
      <c r="R13" s="115">
        <v>0</v>
      </c>
    </row>
    <row r="14" spans="1:18" x14ac:dyDescent="0.25">
      <c r="A14" s="113">
        <v>8</v>
      </c>
      <c r="B14" s="38">
        <v>25</v>
      </c>
      <c r="C14" s="38">
        <v>32</v>
      </c>
      <c r="D14" s="38">
        <v>0</v>
      </c>
      <c r="E14" s="38">
        <v>0</v>
      </c>
      <c r="F14" s="38">
        <v>0</v>
      </c>
      <c r="G14" s="141">
        <v>0</v>
      </c>
      <c r="H14" s="122">
        <f t="shared" si="0"/>
        <v>25</v>
      </c>
      <c r="I14" s="38">
        <f t="shared" si="1"/>
        <v>32</v>
      </c>
      <c r="J14" s="135">
        <f t="shared" si="2"/>
        <v>1.28</v>
      </c>
      <c r="K14" s="147">
        <v>40</v>
      </c>
      <c r="L14" s="114">
        <v>2827.48</v>
      </c>
      <c r="M14" s="115">
        <v>1050</v>
      </c>
      <c r="N14" s="114">
        <v>252.48</v>
      </c>
      <c r="O14" s="41">
        <v>1800</v>
      </c>
      <c r="P14" s="41">
        <v>720</v>
      </c>
      <c r="Q14" s="41">
        <v>1400</v>
      </c>
      <c r="R14" s="115">
        <v>0</v>
      </c>
    </row>
    <row r="15" spans="1:18" x14ac:dyDescent="0.25">
      <c r="A15" s="113">
        <v>9</v>
      </c>
      <c r="B15" s="38">
        <v>28</v>
      </c>
      <c r="C15" s="38">
        <v>34</v>
      </c>
      <c r="D15" s="38">
        <v>1</v>
      </c>
      <c r="E15" s="38">
        <v>0</v>
      </c>
      <c r="F15" s="38">
        <v>1</v>
      </c>
      <c r="G15" s="141">
        <v>1</v>
      </c>
      <c r="H15" s="122">
        <f t="shared" si="0"/>
        <v>30</v>
      </c>
      <c r="I15" s="38">
        <f t="shared" si="1"/>
        <v>35</v>
      </c>
      <c r="J15" s="135">
        <f t="shared" si="2"/>
        <v>1.1666666666666667</v>
      </c>
      <c r="K15" s="147">
        <v>45</v>
      </c>
      <c r="L15" s="114">
        <v>2979.96</v>
      </c>
      <c r="M15" s="115">
        <v>65</v>
      </c>
      <c r="N15" s="114">
        <v>462.88</v>
      </c>
      <c r="O15" s="41">
        <v>2770</v>
      </c>
      <c r="P15" s="41">
        <v>65</v>
      </c>
      <c r="Q15" s="41">
        <v>1400</v>
      </c>
      <c r="R15" s="115">
        <v>0</v>
      </c>
    </row>
    <row r="16" spans="1:18" x14ac:dyDescent="0.25">
      <c r="A16" s="113">
        <v>10</v>
      </c>
      <c r="B16" s="38"/>
      <c r="C16" s="38"/>
      <c r="D16" s="38"/>
      <c r="E16" s="38"/>
      <c r="F16" s="38"/>
      <c r="G16" s="141"/>
      <c r="H16" s="122"/>
      <c r="I16" s="38"/>
      <c r="J16" s="135"/>
      <c r="K16" s="147"/>
      <c r="L16" s="114"/>
      <c r="M16" s="115"/>
      <c r="N16" s="114"/>
      <c r="O16" s="41"/>
      <c r="P16" s="41"/>
      <c r="Q16" s="41">
        <v>400</v>
      </c>
      <c r="R16" s="115"/>
    </row>
    <row r="17" spans="1:18" x14ac:dyDescent="0.25">
      <c r="A17" s="113">
        <v>11</v>
      </c>
      <c r="B17" s="38"/>
      <c r="C17" s="38"/>
      <c r="D17" s="38"/>
      <c r="E17" s="38"/>
      <c r="F17" s="38"/>
      <c r="G17" s="141"/>
      <c r="H17" s="122"/>
      <c r="I17" s="38"/>
      <c r="J17" s="135"/>
      <c r="K17" s="147"/>
      <c r="L17" s="114"/>
      <c r="M17" s="115"/>
      <c r="N17" s="114"/>
      <c r="O17" s="41"/>
      <c r="P17" s="41"/>
      <c r="Q17" s="41"/>
      <c r="R17" s="115"/>
    </row>
    <row r="18" spans="1:18" x14ac:dyDescent="0.25">
      <c r="A18" s="113">
        <v>12</v>
      </c>
      <c r="B18" s="38"/>
      <c r="C18" s="38"/>
      <c r="D18" s="38"/>
      <c r="E18" s="38"/>
      <c r="F18" s="38"/>
      <c r="G18" s="141"/>
      <c r="H18" s="122"/>
      <c r="I18" s="38"/>
      <c r="J18" s="135"/>
      <c r="K18" s="147"/>
      <c r="L18" s="114"/>
      <c r="M18" s="115"/>
      <c r="N18" s="114"/>
      <c r="O18" s="41"/>
      <c r="P18" s="41"/>
      <c r="Q18" s="41"/>
      <c r="R18" s="115"/>
    </row>
    <row r="19" spans="1:18" x14ac:dyDescent="0.25">
      <c r="A19" s="113">
        <v>13</v>
      </c>
      <c r="B19" s="38">
        <v>31</v>
      </c>
      <c r="C19" s="38">
        <v>42</v>
      </c>
      <c r="D19" s="38">
        <v>0</v>
      </c>
      <c r="E19" s="38">
        <v>0</v>
      </c>
      <c r="F19" s="38">
        <v>2</v>
      </c>
      <c r="G19" s="141">
        <v>3</v>
      </c>
      <c r="H19" s="122">
        <f t="shared" si="0"/>
        <v>33</v>
      </c>
      <c r="I19" s="38">
        <f t="shared" si="1"/>
        <v>45</v>
      </c>
      <c r="J19" s="135">
        <f t="shared" si="2"/>
        <v>1.3636363636363635</v>
      </c>
      <c r="K19" s="147">
        <v>54</v>
      </c>
      <c r="L19" s="114">
        <v>3358.68</v>
      </c>
      <c r="M19" s="115">
        <v>375</v>
      </c>
      <c r="N19" s="114">
        <v>715.36</v>
      </c>
      <c r="O19" s="41">
        <v>1275</v>
      </c>
      <c r="P19" s="41">
        <v>310</v>
      </c>
      <c r="Q19" s="41">
        <v>2250</v>
      </c>
      <c r="R19" s="115">
        <v>0</v>
      </c>
    </row>
    <row r="20" spans="1:18" x14ac:dyDescent="0.25">
      <c r="A20" s="113">
        <v>14</v>
      </c>
      <c r="B20" s="38">
        <v>26</v>
      </c>
      <c r="C20" s="38">
        <v>34</v>
      </c>
      <c r="D20" s="38">
        <v>0</v>
      </c>
      <c r="E20" s="38">
        <v>0</v>
      </c>
      <c r="F20" s="38">
        <v>2</v>
      </c>
      <c r="G20" s="141">
        <v>2</v>
      </c>
      <c r="H20" s="122">
        <f t="shared" si="0"/>
        <v>28</v>
      </c>
      <c r="I20" s="38">
        <f t="shared" si="1"/>
        <v>36</v>
      </c>
      <c r="J20" s="135">
        <f t="shared" si="2"/>
        <v>1.2857142857142858</v>
      </c>
      <c r="K20" s="147">
        <v>42</v>
      </c>
      <c r="L20" s="114">
        <v>2892.48</v>
      </c>
      <c r="M20" s="115">
        <v>0</v>
      </c>
      <c r="N20" s="114">
        <v>210.4</v>
      </c>
      <c r="O20" s="41">
        <v>1242.08</v>
      </c>
      <c r="P20" s="41">
        <v>0</v>
      </c>
      <c r="Q20" s="41">
        <v>5740</v>
      </c>
      <c r="R20" s="115">
        <v>0</v>
      </c>
    </row>
    <row r="21" spans="1:18" x14ac:dyDescent="0.25">
      <c r="A21" s="113">
        <v>15</v>
      </c>
      <c r="B21" s="38">
        <v>34</v>
      </c>
      <c r="C21" s="38">
        <v>40</v>
      </c>
      <c r="D21" s="38">
        <v>1</v>
      </c>
      <c r="E21" s="38">
        <v>1</v>
      </c>
      <c r="F21" s="38">
        <v>4</v>
      </c>
      <c r="G21" s="141">
        <v>4</v>
      </c>
      <c r="H21" s="122">
        <f t="shared" si="0"/>
        <v>39</v>
      </c>
      <c r="I21" s="38">
        <f t="shared" si="1"/>
        <v>45</v>
      </c>
      <c r="J21" s="135">
        <f t="shared" si="2"/>
        <v>1.1538461538461537</v>
      </c>
      <c r="K21" s="147">
        <v>50</v>
      </c>
      <c r="L21" s="114">
        <v>3298.28</v>
      </c>
      <c r="M21" s="115">
        <v>920</v>
      </c>
      <c r="N21" s="114">
        <v>757.44</v>
      </c>
      <c r="O21" s="41">
        <v>1927.92</v>
      </c>
      <c r="P21" s="41">
        <v>555</v>
      </c>
      <c r="Q21" s="41">
        <v>1800</v>
      </c>
      <c r="R21" s="115">
        <v>0</v>
      </c>
    </row>
    <row r="22" spans="1:18" x14ac:dyDescent="0.25">
      <c r="A22" s="113">
        <v>16</v>
      </c>
      <c r="B22" s="38">
        <v>32</v>
      </c>
      <c r="C22" s="38">
        <v>36</v>
      </c>
      <c r="D22" s="38">
        <v>0</v>
      </c>
      <c r="E22" s="38">
        <v>0</v>
      </c>
      <c r="F22" s="38">
        <v>2</v>
      </c>
      <c r="G22" s="141">
        <v>3</v>
      </c>
      <c r="H22" s="122">
        <f t="shared" si="0"/>
        <v>34</v>
      </c>
      <c r="I22" s="38">
        <f t="shared" si="1"/>
        <v>39</v>
      </c>
      <c r="J22" s="135">
        <f t="shared" si="2"/>
        <v>1.1470588235294117</v>
      </c>
      <c r="K22" s="147">
        <v>49</v>
      </c>
      <c r="L22" s="114">
        <v>3115.36</v>
      </c>
      <c r="M22" s="115">
        <v>735</v>
      </c>
      <c r="N22" s="114">
        <v>631.20000000000005</v>
      </c>
      <c r="O22" s="41">
        <v>1902.08</v>
      </c>
      <c r="P22" s="41">
        <v>735</v>
      </c>
      <c r="Q22" s="41">
        <v>1100</v>
      </c>
      <c r="R22" s="115">
        <v>1056.48</v>
      </c>
    </row>
    <row r="23" spans="1:18" x14ac:dyDescent="0.25">
      <c r="A23" s="113">
        <v>17</v>
      </c>
      <c r="B23" s="38"/>
      <c r="C23" s="38"/>
      <c r="D23" s="38"/>
      <c r="E23" s="38"/>
      <c r="F23" s="38"/>
      <c r="G23" s="141"/>
      <c r="H23" s="122"/>
      <c r="I23" s="38"/>
      <c r="J23" s="135"/>
      <c r="K23" s="147"/>
      <c r="L23" s="114"/>
      <c r="M23" s="115"/>
      <c r="N23" s="114"/>
      <c r="O23" s="41"/>
      <c r="P23" s="41"/>
      <c r="Q23" s="41"/>
      <c r="R23" s="115"/>
    </row>
    <row r="24" spans="1:18" x14ac:dyDescent="0.25">
      <c r="A24" s="113">
        <v>18</v>
      </c>
      <c r="B24" s="38"/>
      <c r="C24" s="38"/>
      <c r="D24" s="38"/>
      <c r="E24" s="38"/>
      <c r="F24" s="38"/>
      <c r="G24" s="141"/>
      <c r="H24" s="122"/>
      <c r="I24" s="38"/>
      <c r="J24" s="135"/>
      <c r="K24" s="147"/>
      <c r="L24" s="114"/>
      <c r="M24" s="115"/>
      <c r="N24" s="114"/>
      <c r="O24" s="41"/>
      <c r="P24" s="41"/>
      <c r="Q24" s="41"/>
      <c r="R24" s="115"/>
    </row>
    <row r="25" spans="1:18" x14ac:dyDescent="0.25">
      <c r="A25" s="113">
        <v>19</v>
      </c>
      <c r="B25" s="38"/>
      <c r="C25" s="38"/>
      <c r="D25" s="38"/>
      <c r="E25" s="38"/>
      <c r="F25" s="38"/>
      <c r="G25" s="141"/>
      <c r="H25" s="122"/>
      <c r="I25" s="38"/>
      <c r="J25" s="135"/>
      <c r="K25" s="147"/>
      <c r="L25" s="114"/>
      <c r="M25" s="115"/>
      <c r="N25" s="114"/>
      <c r="O25" s="41"/>
      <c r="P25" s="41"/>
      <c r="Q25" s="41">
        <v>200</v>
      </c>
      <c r="R25" s="115"/>
    </row>
    <row r="26" spans="1:18" x14ac:dyDescent="0.25">
      <c r="A26" s="113">
        <v>20</v>
      </c>
      <c r="B26" s="38">
        <v>36</v>
      </c>
      <c r="C26" s="38">
        <v>49</v>
      </c>
      <c r="D26" s="38">
        <v>1</v>
      </c>
      <c r="E26" s="38">
        <v>1</v>
      </c>
      <c r="F26" s="38">
        <v>0</v>
      </c>
      <c r="G26" s="141">
        <v>0</v>
      </c>
      <c r="H26" s="122">
        <f t="shared" si="0"/>
        <v>37</v>
      </c>
      <c r="I26" s="38">
        <f t="shared" si="1"/>
        <v>50</v>
      </c>
      <c r="J26" s="135">
        <f t="shared" si="2"/>
        <v>1.3513513513513513</v>
      </c>
      <c r="K26" s="147">
        <v>59</v>
      </c>
      <c r="L26" s="114">
        <v>3824.52</v>
      </c>
      <c r="M26" s="115">
        <v>395</v>
      </c>
      <c r="N26" s="114">
        <v>716.28</v>
      </c>
      <c r="O26" s="41">
        <v>1574.08</v>
      </c>
      <c r="P26" s="41">
        <v>180</v>
      </c>
      <c r="Q26" s="41">
        <v>0</v>
      </c>
      <c r="R26" s="115">
        <v>0</v>
      </c>
    </row>
    <row r="27" spans="1:18" x14ac:dyDescent="0.25">
      <c r="A27" s="113">
        <v>21</v>
      </c>
      <c r="B27" s="38">
        <v>25</v>
      </c>
      <c r="C27" s="38">
        <v>29</v>
      </c>
      <c r="D27" s="38">
        <v>0</v>
      </c>
      <c r="E27" s="38">
        <v>0</v>
      </c>
      <c r="F27" s="38">
        <v>3</v>
      </c>
      <c r="G27" s="141">
        <v>3</v>
      </c>
      <c r="H27" s="122">
        <f t="shared" si="0"/>
        <v>28</v>
      </c>
      <c r="I27" s="38">
        <f t="shared" si="1"/>
        <v>32</v>
      </c>
      <c r="J27" s="135">
        <f t="shared" si="2"/>
        <v>1.1428571428571428</v>
      </c>
      <c r="K27" s="147">
        <v>34</v>
      </c>
      <c r="L27" s="114">
        <v>2154.96</v>
      </c>
      <c r="M27" s="115">
        <v>445</v>
      </c>
      <c r="N27" s="114">
        <v>504.96</v>
      </c>
      <c r="O27" s="41">
        <v>900</v>
      </c>
      <c r="P27" s="41">
        <v>230</v>
      </c>
      <c r="Q27" s="41">
        <v>925</v>
      </c>
      <c r="R27" s="115">
        <v>0</v>
      </c>
    </row>
    <row r="28" spans="1:18" x14ac:dyDescent="0.25">
      <c r="A28" s="113">
        <v>22</v>
      </c>
      <c r="B28" s="38">
        <v>26</v>
      </c>
      <c r="C28" s="38">
        <v>28</v>
      </c>
      <c r="D28" s="38">
        <v>1</v>
      </c>
      <c r="E28" s="38">
        <v>1</v>
      </c>
      <c r="F28" s="38">
        <v>0</v>
      </c>
      <c r="G28" s="141">
        <v>0</v>
      </c>
      <c r="H28" s="122">
        <f t="shared" si="0"/>
        <v>27</v>
      </c>
      <c r="I28" s="38">
        <f t="shared" si="1"/>
        <v>29</v>
      </c>
      <c r="J28" s="135">
        <f t="shared" si="2"/>
        <v>1.0740740740740742</v>
      </c>
      <c r="K28" s="147">
        <v>35</v>
      </c>
      <c r="L28" s="114">
        <v>2436.64</v>
      </c>
      <c r="M28" s="115">
        <v>300</v>
      </c>
      <c r="N28" s="114">
        <v>336.64</v>
      </c>
      <c r="O28" s="41">
        <v>965</v>
      </c>
      <c r="P28" s="41">
        <v>150</v>
      </c>
      <c r="Q28" s="41">
        <v>0</v>
      </c>
      <c r="R28" s="115">
        <v>0</v>
      </c>
    </row>
    <row r="29" spans="1:18" x14ac:dyDescent="0.25">
      <c r="A29" s="113">
        <v>23</v>
      </c>
      <c r="B29" s="38">
        <v>28</v>
      </c>
      <c r="C29" s="38">
        <v>32</v>
      </c>
      <c r="D29" s="38">
        <v>0</v>
      </c>
      <c r="E29" s="38">
        <v>0</v>
      </c>
      <c r="F29" s="38">
        <v>0</v>
      </c>
      <c r="G29" s="141">
        <v>0</v>
      </c>
      <c r="H29" s="122">
        <f t="shared" si="0"/>
        <v>28</v>
      </c>
      <c r="I29" s="38">
        <f t="shared" si="1"/>
        <v>32</v>
      </c>
      <c r="J29" s="135">
        <f t="shared" si="2"/>
        <v>1.1428571428571428</v>
      </c>
      <c r="K29" s="147">
        <v>41</v>
      </c>
      <c r="L29" s="114">
        <v>2617.04</v>
      </c>
      <c r="M29" s="115">
        <v>0</v>
      </c>
      <c r="N29" s="41">
        <v>462.88</v>
      </c>
      <c r="O29" s="41">
        <v>1174.92</v>
      </c>
      <c r="P29" s="41">
        <v>0</v>
      </c>
      <c r="Q29" s="41">
        <v>3250</v>
      </c>
      <c r="R29" s="115">
        <v>0</v>
      </c>
    </row>
    <row r="30" spans="1:18" x14ac:dyDescent="0.25">
      <c r="A30" s="113">
        <v>24</v>
      </c>
      <c r="B30" s="38"/>
      <c r="C30" s="38"/>
      <c r="D30" s="38"/>
      <c r="E30" s="38"/>
      <c r="F30" s="38"/>
      <c r="G30" s="141"/>
      <c r="H30" s="122"/>
      <c r="I30" s="38"/>
      <c r="J30" s="135"/>
      <c r="K30" s="147"/>
      <c r="L30" s="114"/>
      <c r="M30" s="115"/>
      <c r="N30" s="114"/>
      <c r="O30" s="41"/>
      <c r="P30" s="41"/>
      <c r="Q30" s="41">
        <v>200</v>
      </c>
      <c r="R30" s="115"/>
    </row>
    <row r="31" spans="1:18" x14ac:dyDescent="0.25">
      <c r="A31" s="113">
        <v>25</v>
      </c>
      <c r="B31" s="38"/>
      <c r="C31" s="38"/>
      <c r="D31" s="38"/>
      <c r="E31" s="38"/>
      <c r="F31" s="38"/>
      <c r="G31" s="141"/>
      <c r="H31" s="122"/>
      <c r="I31" s="38"/>
      <c r="J31" s="135"/>
      <c r="K31" s="147"/>
      <c r="L31" s="114"/>
      <c r="M31" s="115"/>
      <c r="N31" s="114"/>
      <c r="O31" s="41"/>
      <c r="P31" s="41"/>
      <c r="Q31" s="41">
        <v>700</v>
      </c>
      <c r="R31" s="115"/>
    </row>
    <row r="32" spans="1:18" x14ac:dyDescent="0.25">
      <c r="A32" s="113">
        <v>26</v>
      </c>
      <c r="B32" s="38"/>
      <c r="C32" s="38"/>
      <c r="D32" s="38"/>
      <c r="E32" s="38"/>
      <c r="F32" s="38"/>
      <c r="G32" s="141"/>
      <c r="H32" s="122"/>
      <c r="I32" s="38"/>
      <c r="J32" s="135"/>
      <c r="K32" s="147"/>
      <c r="L32" s="114"/>
      <c r="M32" s="115"/>
      <c r="N32" s="114"/>
      <c r="O32" s="41"/>
      <c r="P32" s="41"/>
      <c r="Q32" s="41"/>
      <c r="R32" s="115"/>
    </row>
    <row r="33" spans="1:18" x14ac:dyDescent="0.25">
      <c r="A33" s="113">
        <v>27</v>
      </c>
      <c r="B33" s="38">
        <v>43</v>
      </c>
      <c r="C33" s="38">
        <v>45</v>
      </c>
      <c r="D33" s="38">
        <v>1</v>
      </c>
      <c r="E33" s="38">
        <v>1</v>
      </c>
      <c r="F33" s="38">
        <v>1</v>
      </c>
      <c r="G33" s="141">
        <v>1</v>
      </c>
      <c r="H33" s="122">
        <f t="shared" si="0"/>
        <v>45</v>
      </c>
      <c r="I33" s="38">
        <f t="shared" si="1"/>
        <v>47</v>
      </c>
      <c r="J33" s="135">
        <f t="shared" si="2"/>
        <v>1.0444444444444445</v>
      </c>
      <c r="K33" s="147">
        <v>55</v>
      </c>
      <c r="L33" s="114">
        <v>3557.44</v>
      </c>
      <c r="M33" s="115">
        <v>380</v>
      </c>
      <c r="N33" s="114">
        <v>673.28</v>
      </c>
      <c r="O33" s="41">
        <v>1617.08</v>
      </c>
      <c r="P33" s="41">
        <v>230</v>
      </c>
      <c r="Q33" s="41">
        <v>0</v>
      </c>
      <c r="R33" s="115">
        <v>0</v>
      </c>
    </row>
    <row r="34" spans="1:18" x14ac:dyDescent="0.25">
      <c r="A34" s="113">
        <v>28</v>
      </c>
      <c r="B34" s="38">
        <v>31</v>
      </c>
      <c r="C34" s="38">
        <v>34</v>
      </c>
      <c r="D34" s="38">
        <v>0</v>
      </c>
      <c r="E34" s="38">
        <v>0</v>
      </c>
      <c r="F34" s="38">
        <v>1</v>
      </c>
      <c r="G34" s="141">
        <v>1</v>
      </c>
      <c r="H34" s="122">
        <f t="shared" si="0"/>
        <v>32</v>
      </c>
      <c r="I34" s="38">
        <f t="shared" si="1"/>
        <v>35</v>
      </c>
      <c r="J34" s="135">
        <f t="shared" si="2"/>
        <v>1.09375</v>
      </c>
      <c r="K34" s="147">
        <v>41</v>
      </c>
      <c r="L34" s="114">
        <v>2820.4</v>
      </c>
      <c r="M34" s="115">
        <v>65</v>
      </c>
      <c r="N34" s="114">
        <v>210.4</v>
      </c>
      <c r="O34" s="41">
        <v>1485</v>
      </c>
      <c r="P34" s="41">
        <v>65</v>
      </c>
      <c r="Q34" s="41">
        <v>0</v>
      </c>
      <c r="R34" s="115">
        <v>0</v>
      </c>
    </row>
    <row r="35" spans="1:18" x14ac:dyDescent="0.25">
      <c r="A35" s="113">
        <v>29</v>
      </c>
      <c r="B35" s="38">
        <v>33</v>
      </c>
      <c r="C35" s="38">
        <v>37</v>
      </c>
      <c r="D35" s="38">
        <v>1</v>
      </c>
      <c r="E35" s="38">
        <v>1</v>
      </c>
      <c r="F35" s="38">
        <v>1</v>
      </c>
      <c r="G35" s="141">
        <v>0</v>
      </c>
      <c r="H35" s="122">
        <f t="shared" si="0"/>
        <v>35</v>
      </c>
      <c r="I35" s="38">
        <f t="shared" si="1"/>
        <v>38</v>
      </c>
      <c r="J35" s="135">
        <f t="shared" si="2"/>
        <v>1.0857142857142856</v>
      </c>
      <c r="K35" s="147">
        <v>43</v>
      </c>
      <c r="L35" s="114">
        <v>2847.04</v>
      </c>
      <c r="M35" s="115">
        <v>150</v>
      </c>
      <c r="N35" s="114">
        <v>462.88</v>
      </c>
      <c r="O35" s="41">
        <v>1343.08</v>
      </c>
      <c r="P35" s="41">
        <v>0</v>
      </c>
      <c r="Q35" s="41">
        <v>200</v>
      </c>
      <c r="R35" s="115">
        <v>0</v>
      </c>
    </row>
    <row r="36" spans="1:18" x14ac:dyDescent="0.25">
      <c r="A36" s="113">
        <v>30</v>
      </c>
      <c r="B36" s="38">
        <v>24</v>
      </c>
      <c r="C36" s="38">
        <v>32</v>
      </c>
      <c r="D36" s="38">
        <v>0</v>
      </c>
      <c r="E36" s="38">
        <v>0</v>
      </c>
      <c r="F36" s="38">
        <v>0</v>
      </c>
      <c r="G36" s="141">
        <v>1</v>
      </c>
      <c r="H36" s="122">
        <f t="shared" si="0"/>
        <v>24</v>
      </c>
      <c r="I36" s="38">
        <f t="shared" si="1"/>
        <v>33</v>
      </c>
      <c r="J36" s="135">
        <f t="shared" si="2"/>
        <v>1.375</v>
      </c>
      <c r="K36" s="148">
        <v>41</v>
      </c>
      <c r="L36" s="114">
        <v>2606.1999999999998</v>
      </c>
      <c r="M36" s="115">
        <v>65</v>
      </c>
      <c r="N36" s="114">
        <v>589.12</v>
      </c>
      <c r="O36" s="41">
        <v>1090</v>
      </c>
      <c r="P36" s="41">
        <v>65</v>
      </c>
      <c r="Q36" s="41">
        <v>750</v>
      </c>
      <c r="R36" s="115">
        <v>0</v>
      </c>
    </row>
    <row r="37" spans="1:18" ht="15.75" thickBot="1" x14ac:dyDescent="0.3">
      <c r="A37" s="116">
        <v>31</v>
      </c>
      <c r="B37" s="117"/>
      <c r="C37" s="117"/>
      <c r="D37" s="117"/>
      <c r="E37" s="117"/>
      <c r="F37" s="117"/>
      <c r="G37" s="142"/>
      <c r="H37" s="145"/>
      <c r="I37" s="117"/>
      <c r="J37" s="138"/>
      <c r="K37" s="149"/>
      <c r="L37" s="118"/>
      <c r="M37" s="120"/>
      <c r="N37" s="118"/>
      <c r="O37" s="119"/>
      <c r="P37" s="119"/>
      <c r="Q37" s="119">
        <v>200</v>
      </c>
      <c r="R37" s="120"/>
    </row>
    <row r="38" spans="1:18" x14ac:dyDescent="0.25">
      <c r="A38" s="125" t="s">
        <v>28</v>
      </c>
      <c r="B38" s="126">
        <f t="shared" ref="B38:I38" si="3">SUM(B7:B37)</f>
        <v>532</v>
      </c>
      <c r="C38" s="126">
        <f t="shared" si="3"/>
        <v>630</v>
      </c>
      <c r="D38" s="126">
        <f t="shared" si="3"/>
        <v>7</v>
      </c>
      <c r="E38" s="126">
        <f t="shared" si="3"/>
        <v>6</v>
      </c>
      <c r="F38" s="126">
        <f t="shared" si="3"/>
        <v>23</v>
      </c>
      <c r="G38" s="126">
        <f t="shared" si="3"/>
        <v>24</v>
      </c>
      <c r="H38" s="126">
        <f t="shared" si="3"/>
        <v>562</v>
      </c>
      <c r="I38" s="126">
        <f t="shared" si="3"/>
        <v>660</v>
      </c>
      <c r="J38" s="121"/>
      <c r="K38" s="121">
        <f>SUM(K7:K37)</f>
        <v>787</v>
      </c>
      <c r="L38" s="127">
        <f t="shared" ref="L38:R38" si="4">SUM(L7:L37)</f>
        <v>51528</v>
      </c>
      <c r="M38" s="127">
        <f t="shared" si="4"/>
        <v>6045</v>
      </c>
      <c r="N38" s="127">
        <f t="shared" si="4"/>
        <v>8711.48</v>
      </c>
      <c r="O38" s="127">
        <f t="shared" si="4"/>
        <v>26715.160000000003</v>
      </c>
      <c r="P38" s="127">
        <f t="shared" si="4"/>
        <v>4040</v>
      </c>
      <c r="Q38" s="127">
        <f>SUM(Q7:Q37)</f>
        <v>25715</v>
      </c>
      <c r="R38" s="127">
        <f t="shared" si="4"/>
        <v>1056.48</v>
      </c>
    </row>
    <row r="39" spans="1:18" x14ac:dyDescent="0.25">
      <c r="A39" s="125" t="s">
        <v>52</v>
      </c>
      <c r="B39" s="126">
        <f>AVERAGE(B7:B37)</f>
        <v>31.294117647058822</v>
      </c>
      <c r="C39" s="126">
        <f t="shared" ref="C39:I39" si="5">AVERAGE(C7:C37)</f>
        <v>37.058823529411768</v>
      </c>
      <c r="D39" s="126">
        <f t="shared" si="5"/>
        <v>0.41176470588235292</v>
      </c>
      <c r="E39" s="126">
        <f t="shared" si="5"/>
        <v>0.35294117647058826</v>
      </c>
      <c r="F39" s="126">
        <f t="shared" si="5"/>
        <v>1.3529411764705883</v>
      </c>
      <c r="G39" s="126">
        <f t="shared" si="5"/>
        <v>1.411764705882353</v>
      </c>
      <c r="H39" s="126">
        <f t="shared" si="5"/>
        <v>33.058823529411768</v>
      </c>
      <c r="I39" s="126">
        <f t="shared" si="5"/>
        <v>38.823529411764703</v>
      </c>
      <c r="J39" s="121"/>
      <c r="K39" s="121">
        <f>K38/B40</f>
        <v>46.294117647058826</v>
      </c>
      <c r="L39" s="127">
        <f t="shared" ref="L39:R39" si="6">AVERAGE(L7:L37)</f>
        <v>3031.0588235294117</v>
      </c>
      <c r="M39" s="127">
        <f t="shared" si="6"/>
        <v>355.58823529411762</v>
      </c>
      <c r="N39" s="127">
        <f t="shared" si="6"/>
        <v>512.43999999999994</v>
      </c>
      <c r="O39" s="127">
        <f t="shared" si="6"/>
        <v>1571.4800000000002</v>
      </c>
      <c r="P39" s="127">
        <f t="shared" si="6"/>
        <v>237.64705882352942</v>
      </c>
      <c r="Q39" s="127"/>
      <c r="R39" s="127">
        <f t="shared" si="6"/>
        <v>62.145882352941179</v>
      </c>
    </row>
    <row r="40" spans="1:18" x14ac:dyDescent="0.25">
      <c r="A40" s="125" t="s">
        <v>53</v>
      </c>
      <c r="B40" s="126">
        <f>Stats!B39</f>
        <v>17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</row>
    <row r="1048576" spans="11:11" x14ac:dyDescent="0.25">
      <c r="K1048576">
        <v>0</v>
      </c>
    </row>
  </sheetData>
  <mergeCells count="8">
    <mergeCell ref="N3:R3"/>
    <mergeCell ref="N4:Q4"/>
    <mergeCell ref="A4:F4"/>
    <mergeCell ref="L4:M4"/>
    <mergeCell ref="A3:G3"/>
    <mergeCell ref="L3:M3"/>
    <mergeCell ref="H3:K3"/>
    <mergeCell ref="J4:K4"/>
  </mergeCells>
  <dataValidations count="1">
    <dataValidation allowBlank="1" showInputMessage="1" showErrorMessage="1" prompt="Scheduled Day 1" sqref="B6:F6 B5:K5" xr:uid="{E7F5D1DB-59E7-444C-B349-E132F82EFA46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B68E-72C0-437D-BFD0-851C8DEA1C45}">
  <dimension ref="A1:N46"/>
  <sheetViews>
    <sheetView tabSelected="1" zoomScale="80" zoomScaleNormal="80" workbookViewId="0">
      <selection activeCell="F32" sqref="F32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6" width="6.140625" customWidth="1"/>
    <col min="7" max="7" width="9.140625" style="17" customWidth="1"/>
    <col min="8" max="12" width="4.7109375" style="56" customWidth="1"/>
    <col min="13" max="13" width="9.7109375" style="14" customWidth="1"/>
  </cols>
  <sheetData>
    <row r="1" spans="1:13" x14ac:dyDescent="0.25">
      <c r="A1" s="1" t="s">
        <v>12</v>
      </c>
      <c r="B1" s="2"/>
      <c r="C1" s="2"/>
      <c r="D1" s="3"/>
      <c r="E1" s="2"/>
      <c r="F1" s="2"/>
      <c r="G1" s="15"/>
    </row>
    <row r="2" spans="1:13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E2" s="2"/>
      <c r="F2" s="2"/>
      <c r="G2" s="18"/>
    </row>
    <row r="3" spans="1:13" x14ac:dyDescent="0.25">
      <c r="A3" s="86" t="s">
        <v>15</v>
      </c>
      <c r="B3" s="59"/>
      <c r="C3" s="59"/>
      <c r="D3" s="60"/>
      <c r="E3" s="54" t="s">
        <v>16</v>
      </c>
      <c r="F3" s="54"/>
      <c r="G3" s="54"/>
      <c r="H3" s="45"/>
      <c r="I3" s="45"/>
      <c r="J3" s="45"/>
      <c r="K3" s="45"/>
      <c r="L3" s="45"/>
      <c r="M3" s="58"/>
    </row>
    <row r="4" spans="1:13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54" t="s">
        <v>19</v>
      </c>
      <c r="F4" s="54" t="s">
        <v>20</v>
      </c>
      <c r="G4" s="54" t="s">
        <v>25</v>
      </c>
      <c r="H4" s="45">
        <v>30</v>
      </c>
      <c r="I4" s="45">
        <v>45</v>
      </c>
      <c r="J4" s="45">
        <v>60</v>
      </c>
      <c r="K4" s="45">
        <v>75</v>
      </c>
      <c r="L4" s="45">
        <v>90</v>
      </c>
      <c r="M4" s="58"/>
    </row>
    <row r="5" spans="1:13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54" t="s">
        <v>25</v>
      </c>
      <c r="F5" s="54" t="s">
        <v>25</v>
      </c>
      <c r="G5" s="54" t="s">
        <v>23</v>
      </c>
      <c r="H5" s="45" t="s">
        <v>69</v>
      </c>
      <c r="I5" s="45" t="s">
        <v>69</v>
      </c>
      <c r="J5" s="45" t="s">
        <v>69</v>
      </c>
      <c r="K5" s="45" t="s">
        <v>69</v>
      </c>
      <c r="L5" s="45" t="s">
        <v>69</v>
      </c>
      <c r="M5" s="58" t="s">
        <v>70</v>
      </c>
    </row>
    <row r="6" spans="1:13" x14ac:dyDescent="0.25">
      <c r="A6" s="19">
        <v>1</v>
      </c>
      <c r="B6" s="87"/>
      <c r="C6" s="87"/>
      <c r="D6" s="40"/>
      <c r="E6" s="88"/>
      <c r="F6" s="88"/>
      <c r="G6" s="89"/>
      <c r="H6" s="108"/>
      <c r="I6" s="108"/>
      <c r="J6" s="108"/>
      <c r="K6" s="108"/>
      <c r="L6" s="108"/>
      <c r="M6" s="105"/>
    </row>
    <row r="7" spans="1:13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88">
        <v>6</v>
      </c>
      <c r="F7" s="88">
        <f t="shared" ref="F7:F35" si="1">H7+I7+J7+K7+L7</f>
        <v>5</v>
      </c>
      <c r="G7" s="89">
        <f t="shared" ref="G7:G38" si="2">IFERROR((F7/E7),0)</f>
        <v>0.83333333333333337</v>
      </c>
      <c r="H7" s="108">
        <v>0</v>
      </c>
      <c r="I7" s="108">
        <v>0</v>
      </c>
      <c r="J7" s="108">
        <v>3</v>
      </c>
      <c r="K7" s="108">
        <v>0</v>
      </c>
      <c r="L7" s="108">
        <v>2</v>
      </c>
      <c r="M7" s="105">
        <v>350</v>
      </c>
    </row>
    <row r="8" spans="1:13" x14ac:dyDescent="0.25">
      <c r="A8" s="19">
        <v>3</v>
      </c>
      <c r="B8" s="87"/>
      <c r="C8" s="87"/>
      <c r="D8" s="40"/>
      <c r="E8" s="88"/>
      <c r="F8" s="88"/>
      <c r="G8" s="89"/>
      <c r="H8" s="108"/>
      <c r="I8" s="108"/>
      <c r="J8" s="108"/>
      <c r="K8" s="108"/>
      <c r="L8" s="108"/>
      <c r="M8" s="105"/>
    </row>
    <row r="9" spans="1:13" x14ac:dyDescent="0.25">
      <c r="A9" s="19">
        <v>4</v>
      </c>
      <c r="B9" s="87"/>
      <c r="C9" s="87"/>
      <c r="D9" s="40"/>
      <c r="E9" s="88"/>
      <c r="F9" s="88"/>
      <c r="G9" s="89"/>
      <c r="H9" s="108"/>
      <c r="I9" s="108"/>
      <c r="J9" s="108"/>
      <c r="K9" s="108"/>
      <c r="L9" s="108"/>
      <c r="M9" s="105"/>
    </row>
    <row r="10" spans="1:13" x14ac:dyDescent="0.25">
      <c r="A10" s="19">
        <v>5</v>
      </c>
      <c r="B10" s="87"/>
      <c r="C10" s="87"/>
      <c r="D10" s="40"/>
      <c r="E10" s="88"/>
      <c r="F10" s="88"/>
      <c r="G10" s="89"/>
      <c r="H10" s="108"/>
      <c r="I10" s="108"/>
      <c r="J10" s="108"/>
      <c r="K10" s="108"/>
      <c r="L10" s="108"/>
      <c r="M10" s="105"/>
    </row>
    <row r="11" spans="1:13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88">
        <v>5</v>
      </c>
      <c r="F11" s="88">
        <f t="shared" si="1"/>
        <v>4</v>
      </c>
      <c r="G11" s="89">
        <f t="shared" si="2"/>
        <v>0.8</v>
      </c>
      <c r="H11" s="108">
        <v>0</v>
      </c>
      <c r="I11" s="108">
        <v>0</v>
      </c>
      <c r="J11" s="108">
        <v>3</v>
      </c>
      <c r="K11" s="108">
        <v>0</v>
      </c>
      <c r="L11" s="108">
        <v>1</v>
      </c>
      <c r="M11" s="105">
        <v>520</v>
      </c>
    </row>
    <row r="12" spans="1:13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88">
        <v>6</v>
      </c>
      <c r="F12" s="88">
        <f t="shared" si="1"/>
        <v>6</v>
      </c>
      <c r="G12" s="89">
        <f t="shared" si="2"/>
        <v>1</v>
      </c>
      <c r="H12" s="108">
        <v>0</v>
      </c>
      <c r="I12" s="108">
        <v>1</v>
      </c>
      <c r="J12" s="108">
        <v>4</v>
      </c>
      <c r="K12" s="108">
        <v>0</v>
      </c>
      <c r="L12" s="108">
        <v>1</v>
      </c>
      <c r="M12" s="105">
        <v>450</v>
      </c>
    </row>
    <row r="13" spans="1:13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88">
        <v>4</v>
      </c>
      <c r="F13" s="88">
        <f t="shared" si="1"/>
        <v>4</v>
      </c>
      <c r="G13" s="89">
        <f t="shared" si="2"/>
        <v>1</v>
      </c>
      <c r="H13" s="108">
        <v>0</v>
      </c>
      <c r="I13" s="108">
        <v>1</v>
      </c>
      <c r="J13" s="108">
        <v>1</v>
      </c>
      <c r="K13" s="108">
        <v>0</v>
      </c>
      <c r="L13" s="108">
        <v>2</v>
      </c>
      <c r="M13" s="105">
        <v>360</v>
      </c>
    </row>
    <row r="14" spans="1:13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88">
        <v>6</v>
      </c>
      <c r="F14" s="88">
        <f t="shared" si="1"/>
        <v>5</v>
      </c>
      <c r="G14" s="89">
        <f t="shared" si="2"/>
        <v>0.83333333333333337</v>
      </c>
      <c r="H14" s="108">
        <v>0</v>
      </c>
      <c r="I14" s="108">
        <v>2</v>
      </c>
      <c r="J14" s="108">
        <v>3</v>
      </c>
      <c r="K14" s="108">
        <v>0</v>
      </c>
      <c r="L14" s="108">
        <v>0</v>
      </c>
      <c r="M14" s="105">
        <v>420</v>
      </c>
    </row>
    <row r="15" spans="1:13" x14ac:dyDescent="0.25">
      <c r="A15" s="19">
        <v>10</v>
      </c>
      <c r="B15" s="87"/>
      <c r="C15" s="87"/>
      <c r="D15" s="40"/>
      <c r="E15" s="88"/>
      <c r="F15" s="88"/>
      <c r="G15" s="89"/>
      <c r="H15" s="108"/>
      <c r="I15" s="108"/>
      <c r="J15" s="108"/>
      <c r="K15" s="108"/>
      <c r="L15" s="108"/>
      <c r="M15" s="105"/>
    </row>
    <row r="16" spans="1:13" x14ac:dyDescent="0.25">
      <c r="A16" s="19">
        <v>11</v>
      </c>
      <c r="B16" s="87"/>
      <c r="C16" s="87"/>
      <c r="D16" s="40"/>
      <c r="E16" s="88"/>
      <c r="F16" s="88"/>
      <c r="G16" s="89"/>
      <c r="H16" s="108"/>
      <c r="I16" s="108"/>
      <c r="J16" s="108"/>
      <c r="K16" s="108"/>
      <c r="L16" s="108"/>
      <c r="M16" s="105"/>
    </row>
    <row r="17" spans="1:14" x14ac:dyDescent="0.25">
      <c r="A17" s="19">
        <v>12</v>
      </c>
      <c r="B17" s="87"/>
      <c r="C17" s="87"/>
      <c r="D17" s="40"/>
      <c r="E17" s="88"/>
      <c r="F17" s="88"/>
      <c r="G17" s="89"/>
      <c r="H17" s="108"/>
      <c r="I17" s="108"/>
      <c r="J17" s="108"/>
      <c r="K17" s="108"/>
      <c r="L17" s="108"/>
      <c r="M17" s="105"/>
    </row>
    <row r="18" spans="1:14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88">
        <v>6</v>
      </c>
      <c r="F18" s="88">
        <f t="shared" si="1"/>
        <v>6</v>
      </c>
      <c r="G18" s="89">
        <f t="shared" si="2"/>
        <v>1</v>
      </c>
      <c r="H18" s="108">
        <v>0</v>
      </c>
      <c r="I18" s="108">
        <v>0</v>
      </c>
      <c r="J18" s="108">
        <v>5</v>
      </c>
      <c r="K18" s="108">
        <v>0</v>
      </c>
      <c r="L18" s="108">
        <v>1</v>
      </c>
      <c r="M18" s="105">
        <v>240</v>
      </c>
    </row>
    <row r="19" spans="1:14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88">
        <v>4</v>
      </c>
      <c r="F19" s="88">
        <f t="shared" si="1"/>
        <v>4</v>
      </c>
      <c r="G19" s="89">
        <f t="shared" si="2"/>
        <v>1</v>
      </c>
      <c r="H19" s="108">
        <v>0</v>
      </c>
      <c r="I19" s="108">
        <v>0</v>
      </c>
      <c r="J19" s="108">
        <v>2</v>
      </c>
      <c r="K19" s="108">
        <v>0</v>
      </c>
      <c r="L19" s="108">
        <v>2</v>
      </c>
      <c r="M19" s="105">
        <v>480</v>
      </c>
    </row>
    <row r="20" spans="1:14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88">
        <v>6</v>
      </c>
      <c r="F20" s="88">
        <f t="shared" si="1"/>
        <v>6</v>
      </c>
      <c r="G20" s="89">
        <f t="shared" si="2"/>
        <v>1</v>
      </c>
      <c r="H20" s="108">
        <v>0</v>
      </c>
      <c r="I20" s="108">
        <v>1</v>
      </c>
      <c r="J20" s="108">
        <v>4</v>
      </c>
      <c r="K20" s="108">
        <v>0</v>
      </c>
      <c r="L20" s="108">
        <v>1</v>
      </c>
      <c r="M20" s="105">
        <v>1660</v>
      </c>
    </row>
    <row r="21" spans="1:14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88">
        <v>6</v>
      </c>
      <c r="F21" s="88">
        <f t="shared" si="1"/>
        <v>5</v>
      </c>
      <c r="G21" s="89">
        <f t="shared" si="2"/>
        <v>0.83333333333333337</v>
      </c>
      <c r="H21" s="108">
        <v>0</v>
      </c>
      <c r="I21" s="108">
        <v>0</v>
      </c>
      <c r="J21" s="108">
        <v>3</v>
      </c>
      <c r="K21" s="108">
        <v>0</v>
      </c>
      <c r="L21" s="108">
        <v>2</v>
      </c>
      <c r="M21" s="105">
        <v>240</v>
      </c>
    </row>
    <row r="22" spans="1:14" x14ac:dyDescent="0.25">
      <c r="A22" s="19">
        <v>17</v>
      </c>
      <c r="B22" s="87"/>
      <c r="C22" s="87"/>
      <c r="D22" s="40"/>
      <c r="E22" s="88"/>
      <c r="F22" s="88"/>
      <c r="G22" s="89"/>
      <c r="H22" s="108"/>
      <c r="I22" s="108"/>
      <c r="J22" s="108"/>
      <c r="K22" s="108"/>
      <c r="L22" s="108"/>
      <c r="M22" s="105"/>
    </row>
    <row r="23" spans="1:14" x14ac:dyDescent="0.25">
      <c r="A23" s="19">
        <v>18</v>
      </c>
      <c r="B23" s="87"/>
      <c r="C23" s="87"/>
      <c r="D23" s="40"/>
      <c r="E23" s="88"/>
      <c r="F23" s="88"/>
      <c r="G23" s="89"/>
      <c r="H23" s="108"/>
      <c r="I23" s="108"/>
      <c r="J23" s="108"/>
      <c r="K23" s="108"/>
      <c r="L23" s="108"/>
      <c r="M23" s="105"/>
    </row>
    <row r="24" spans="1:14" x14ac:dyDescent="0.25">
      <c r="A24" s="19">
        <v>19</v>
      </c>
      <c r="B24" s="87"/>
      <c r="C24" s="87"/>
      <c r="D24" s="40"/>
      <c r="E24" s="88"/>
      <c r="F24" s="88"/>
      <c r="G24" s="89"/>
      <c r="H24" s="108"/>
      <c r="I24" s="108"/>
      <c r="J24" s="108"/>
      <c r="K24" s="108"/>
      <c r="L24" s="108"/>
      <c r="M24" s="105"/>
    </row>
    <row r="25" spans="1:14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88">
        <v>6</v>
      </c>
      <c r="F25" s="88">
        <f t="shared" si="1"/>
        <v>6</v>
      </c>
      <c r="G25" s="89">
        <f t="shared" si="2"/>
        <v>1</v>
      </c>
      <c r="H25" s="108">
        <v>0</v>
      </c>
      <c r="I25" s="108">
        <v>1</v>
      </c>
      <c r="J25" s="108">
        <v>4</v>
      </c>
      <c r="K25" s="108">
        <v>0</v>
      </c>
      <c r="L25" s="108">
        <v>1</v>
      </c>
      <c r="M25" s="105">
        <v>330</v>
      </c>
    </row>
    <row r="26" spans="1:14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88">
        <v>5</v>
      </c>
      <c r="F26" s="88">
        <f t="shared" si="1"/>
        <v>5</v>
      </c>
      <c r="G26" s="89">
        <f t="shared" si="2"/>
        <v>1</v>
      </c>
      <c r="H26" s="108">
        <v>0</v>
      </c>
      <c r="I26" s="108">
        <v>0</v>
      </c>
      <c r="J26" s="108">
        <v>3</v>
      </c>
      <c r="K26" s="108">
        <v>0</v>
      </c>
      <c r="L26" s="108">
        <v>2</v>
      </c>
      <c r="M26" s="105">
        <v>300</v>
      </c>
    </row>
    <row r="27" spans="1:14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88">
        <v>6</v>
      </c>
      <c r="F27" s="88">
        <f t="shared" si="1"/>
        <v>6</v>
      </c>
      <c r="G27" s="89">
        <f t="shared" si="2"/>
        <v>1</v>
      </c>
      <c r="H27" s="108">
        <v>1</v>
      </c>
      <c r="I27" s="108">
        <v>1</v>
      </c>
      <c r="J27" s="108">
        <v>2</v>
      </c>
      <c r="K27" s="108">
        <v>0</v>
      </c>
      <c r="L27" s="108">
        <v>2</v>
      </c>
      <c r="M27" s="105">
        <v>660</v>
      </c>
    </row>
    <row r="28" spans="1:14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88">
        <v>6</v>
      </c>
      <c r="F28" s="88">
        <f t="shared" si="1"/>
        <v>6</v>
      </c>
      <c r="G28" s="89">
        <f t="shared" si="2"/>
        <v>1</v>
      </c>
      <c r="H28" s="108">
        <v>0</v>
      </c>
      <c r="I28" s="108">
        <v>0</v>
      </c>
      <c r="J28" s="108">
        <v>4</v>
      </c>
      <c r="K28" s="108">
        <v>0</v>
      </c>
      <c r="L28" s="108">
        <v>2</v>
      </c>
      <c r="M28" s="105">
        <v>720</v>
      </c>
      <c r="N28" s="152"/>
    </row>
    <row r="29" spans="1:14" x14ac:dyDescent="0.25">
      <c r="A29" s="19">
        <v>24</v>
      </c>
      <c r="B29" s="87"/>
      <c r="C29" s="87"/>
      <c r="D29" s="40"/>
      <c r="E29" s="88"/>
      <c r="F29" s="88"/>
      <c r="G29" s="89"/>
      <c r="H29" s="108"/>
      <c r="I29" s="108"/>
      <c r="J29" s="108"/>
      <c r="K29" s="108"/>
      <c r="L29" s="108"/>
      <c r="M29" s="105"/>
    </row>
    <row r="30" spans="1:14" x14ac:dyDescent="0.25">
      <c r="A30" s="19">
        <v>25</v>
      </c>
      <c r="B30" s="87"/>
      <c r="C30" s="87"/>
      <c r="D30" s="40"/>
      <c r="E30" s="88"/>
      <c r="F30" s="88"/>
      <c r="G30" s="89"/>
      <c r="H30" s="108"/>
      <c r="I30" s="108"/>
      <c r="J30" s="108"/>
      <c r="K30" s="108"/>
      <c r="L30" s="108"/>
      <c r="M30" s="105"/>
    </row>
    <row r="31" spans="1:14" x14ac:dyDescent="0.25">
      <c r="A31" s="19">
        <v>26</v>
      </c>
      <c r="B31" s="87"/>
      <c r="C31" s="87"/>
      <c r="D31" s="40"/>
      <c r="E31" s="88"/>
      <c r="F31" s="88"/>
      <c r="G31" s="89"/>
      <c r="H31" s="108"/>
      <c r="I31" s="108"/>
      <c r="J31" s="108"/>
      <c r="K31" s="108"/>
      <c r="L31" s="108"/>
      <c r="M31" s="105"/>
    </row>
    <row r="32" spans="1:14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88">
        <v>5</v>
      </c>
      <c r="F32" s="88">
        <f t="shared" si="1"/>
        <v>4</v>
      </c>
      <c r="G32" s="89">
        <f t="shared" si="2"/>
        <v>0.8</v>
      </c>
      <c r="H32" s="108">
        <v>0</v>
      </c>
      <c r="I32" s="108">
        <v>0</v>
      </c>
      <c r="J32" s="108">
        <v>4</v>
      </c>
      <c r="K32" s="108">
        <v>0</v>
      </c>
      <c r="L32" s="108">
        <v>0</v>
      </c>
      <c r="M32" s="105">
        <v>480</v>
      </c>
    </row>
    <row r="33" spans="1:13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88">
        <v>4</v>
      </c>
      <c r="F33" s="88">
        <f t="shared" si="1"/>
        <v>4</v>
      </c>
      <c r="G33" s="89">
        <f t="shared" si="2"/>
        <v>1</v>
      </c>
      <c r="H33" s="108">
        <v>0</v>
      </c>
      <c r="I33" s="108">
        <v>0</v>
      </c>
      <c r="J33" s="108">
        <v>2</v>
      </c>
      <c r="K33" s="108">
        <v>0</v>
      </c>
      <c r="L33" s="108">
        <v>2</v>
      </c>
      <c r="M33" s="105">
        <v>300</v>
      </c>
    </row>
    <row r="34" spans="1:13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88">
        <v>3</v>
      </c>
      <c r="F34" s="88">
        <f t="shared" si="1"/>
        <v>3</v>
      </c>
      <c r="G34" s="89">
        <f t="shared" si="2"/>
        <v>1</v>
      </c>
      <c r="H34" s="108">
        <v>0</v>
      </c>
      <c r="I34" s="108">
        <v>0</v>
      </c>
      <c r="J34" s="108">
        <v>2</v>
      </c>
      <c r="K34" s="108">
        <v>0</v>
      </c>
      <c r="L34" s="108">
        <v>1</v>
      </c>
      <c r="M34" s="105">
        <v>120</v>
      </c>
    </row>
    <row r="35" spans="1:13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88">
        <v>3</v>
      </c>
      <c r="F35" s="88">
        <f t="shared" si="1"/>
        <v>3</v>
      </c>
      <c r="G35" s="89">
        <f t="shared" si="2"/>
        <v>1</v>
      </c>
      <c r="H35" s="108">
        <v>0</v>
      </c>
      <c r="I35" s="108">
        <v>0</v>
      </c>
      <c r="J35" s="108">
        <v>1</v>
      </c>
      <c r="K35" s="108">
        <v>0</v>
      </c>
      <c r="L35" s="108">
        <v>2</v>
      </c>
      <c r="M35" s="105">
        <v>570</v>
      </c>
    </row>
    <row r="36" spans="1:13" x14ac:dyDescent="0.25">
      <c r="A36" s="19">
        <v>31</v>
      </c>
      <c r="B36" s="87"/>
      <c r="C36" s="87"/>
      <c r="D36" s="40"/>
      <c r="E36" s="88"/>
      <c r="F36" s="88"/>
      <c r="G36" s="89"/>
      <c r="H36" s="108"/>
      <c r="I36" s="108"/>
      <c r="J36" s="108"/>
      <c r="K36" s="108"/>
      <c r="L36" s="108"/>
      <c r="M36" s="105"/>
    </row>
    <row r="37" spans="1:13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3">IFERROR((C37/B37),0)</f>
        <v>0</v>
      </c>
      <c r="E37" s="77">
        <f>SUM(E6:E36)</f>
        <v>87</v>
      </c>
      <c r="F37" s="77">
        <f>SUM(F6:F36)</f>
        <v>82</v>
      </c>
      <c r="G37" s="95">
        <f t="shared" si="2"/>
        <v>0.94252873563218387</v>
      </c>
      <c r="H37" s="151">
        <f>SUM(H6:H36)</f>
        <v>1</v>
      </c>
      <c r="I37" s="151">
        <f>SUM(I6:I36)</f>
        <v>7</v>
      </c>
      <c r="J37" s="151">
        <f>SUM(J6:J36)</f>
        <v>50</v>
      </c>
      <c r="K37" s="151">
        <f>SUM(K6:K36)</f>
        <v>0</v>
      </c>
      <c r="L37" s="151">
        <f>SUM(L6:L36)</f>
        <v>24</v>
      </c>
      <c r="M37" s="13">
        <f t="shared" ref="M37" si="4">SUM(M6:M36)</f>
        <v>8200</v>
      </c>
    </row>
    <row r="38" spans="1:13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3"/>
        <v>0</v>
      </c>
      <c r="E38" s="77">
        <f>E37/$B$39</f>
        <v>5.117647058823529</v>
      </c>
      <c r="F38" s="77">
        <f>F37/$B$39</f>
        <v>4.8235294117647056</v>
      </c>
      <c r="G38" s="95">
        <f t="shared" si="2"/>
        <v>0.94252873563218398</v>
      </c>
      <c r="H38" s="56">
        <f>H37/B39</f>
        <v>5.8823529411764705E-2</v>
      </c>
      <c r="I38" s="56">
        <f>I37/B39</f>
        <v>0.41176470588235292</v>
      </c>
      <c r="J38" s="56">
        <f>J37/B39</f>
        <v>2.9411764705882355</v>
      </c>
      <c r="K38" s="56">
        <f>K37/B39</f>
        <v>0</v>
      </c>
      <c r="L38" s="56">
        <f>L37/B39</f>
        <v>1.411764705882353</v>
      </c>
      <c r="M38" s="106">
        <f>M37/B39</f>
        <v>482.35294117647061</v>
      </c>
    </row>
    <row r="39" spans="1:13" x14ac:dyDescent="0.25">
      <c r="A39" s="107" t="s">
        <v>53</v>
      </c>
      <c r="B39" s="80">
        <f>Stats!B39</f>
        <v>17</v>
      </c>
      <c r="C39" s="80"/>
      <c r="D39" s="81"/>
      <c r="E39" s="80"/>
      <c r="F39" s="80"/>
      <c r="G39" s="98"/>
      <c r="M39" s="106"/>
    </row>
    <row r="40" spans="1:13" x14ac:dyDescent="0.25">
      <c r="A40" s="34"/>
      <c r="B40" s="80"/>
      <c r="C40" s="80"/>
      <c r="D40" s="81"/>
      <c r="E40" s="80"/>
      <c r="F40" s="80"/>
      <c r="G40" s="98"/>
      <c r="M40" s="106"/>
    </row>
    <row r="41" spans="1:13" x14ac:dyDescent="0.25">
      <c r="A41" s="9"/>
      <c r="B41" s="2"/>
      <c r="C41" s="2"/>
      <c r="D41" s="3"/>
      <c r="E41" s="2"/>
      <c r="F41" s="2"/>
      <c r="G41" s="16"/>
    </row>
    <row r="42" spans="1:13" x14ac:dyDescent="0.25">
      <c r="A42" s="9"/>
      <c r="B42" s="2"/>
      <c r="C42" s="2"/>
      <c r="D42" s="3"/>
      <c r="E42" s="2"/>
      <c r="F42" s="2"/>
      <c r="G42" s="16"/>
    </row>
    <row r="43" spans="1:13" x14ac:dyDescent="0.25">
      <c r="A43" s="9"/>
      <c r="B43" s="2"/>
      <c r="C43" s="2"/>
      <c r="D43" s="3"/>
      <c r="E43" s="2"/>
      <c r="F43" s="2"/>
      <c r="G43" s="16"/>
    </row>
    <row r="44" spans="1:13" x14ac:dyDescent="0.25">
      <c r="A44" s="9"/>
      <c r="B44" s="2"/>
      <c r="C44" s="2"/>
      <c r="D44" s="3"/>
      <c r="E44" s="2"/>
      <c r="F44" s="2"/>
      <c r="G44" s="16"/>
    </row>
    <row r="45" spans="1:13" x14ac:dyDescent="0.25">
      <c r="A45" s="9"/>
      <c r="B45" s="2"/>
      <c r="C45" s="2"/>
      <c r="D45" s="3"/>
      <c r="E45" s="2"/>
      <c r="F45" s="2"/>
      <c r="G45" s="16"/>
    </row>
    <row r="46" spans="1:13" x14ac:dyDescent="0.25">
      <c r="A46" s="9"/>
      <c r="B46" s="2" t="s">
        <v>29</v>
      </c>
      <c r="C46" s="2"/>
      <c r="D46" s="3"/>
      <c r="E46" s="2"/>
      <c r="F46" s="2"/>
      <c r="G46" s="16"/>
    </row>
  </sheetData>
  <dataValidations count="3">
    <dataValidation type="list" allowBlank="1" showInputMessage="1" showErrorMessage="1" sqref="G2" xr:uid="{54CDEAC0-2C53-44BE-8863-50D9D4F57327}">
      <formula1>#REF!</formula1>
    </dataValidation>
    <dataValidation allowBlank="1" showInputMessage="1" showErrorMessage="1" prompt="Scheduled Day 1" sqref="B4" xr:uid="{F3697B69-C3AC-4402-B780-E514D4446438}"/>
    <dataValidation allowBlank="1" showInputMessage="1" showErrorMessage="1" prompt="Actual Day 1" sqref="C4" xr:uid="{B02F536D-90F9-4910-886F-076896A0692D}"/>
  </dataValidations>
  <hyperlinks>
    <hyperlink ref="D4" location="Stats!D4" tooltip="Scheduled to Actual Day 1 % rate" display="Sch/Act" xr:uid="{C3450132-99E2-47C3-8683-F8FB9D68065E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020D-5500-409D-8CBC-15D33EC13452}">
  <dimension ref="A1:Q46"/>
  <sheetViews>
    <sheetView topLeftCell="E1" zoomScale="80" zoomScaleNormal="80" workbookViewId="0">
      <selection activeCell="P35" sqref="P35"/>
    </sheetView>
  </sheetViews>
  <sheetFormatPr defaultColWidth="8.7109375" defaultRowHeight="15" x14ac:dyDescent="0.25"/>
  <cols>
    <col min="1" max="1" width="10.140625" style="56" bestFit="1" customWidth="1"/>
    <col min="2" max="2" width="10" style="56" bestFit="1" customWidth="1"/>
    <col min="3" max="3" width="5.5703125" style="56" bestFit="1" customWidth="1"/>
    <col min="4" max="4" width="8" style="56" bestFit="1" customWidth="1"/>
    <col min="5" max="5" width="6.28515625" style="56" bestFit="1" customWidth="1"/>
    <col min="6" max="6" width="12.7109375" style="56" bestFit="1" customWidth="1"/>
    <col min="7" max="8" width="6.140625" style="56" customWidth="1"/>
    <col min="9" max="9" width="9.140625" style="99" customWidth="1"/>
    <col min="10" max="10" width="12.7109375" style="99" bestFit="1" customWidth="1"/>
    <col min="11" max="11" width="16.7109375" style="83" bestFit="1" customWidth="1"/>
    <col min="12" max="12" width="12.7109375" style="56" bestFit="1" customWidth="1"/>
    <col min="13" max="13" width="16" style="83" bestFit="1" customWidth="1"/>
    <col min="14" max="16" width="9.7109375" style="84" customWidth="1"/>
    <col min="17" max="17" width="10.85546875" style="85" bestFit="1" customWidth="1"/>
  </cols>
  <sheetData>
    <row r="1" spans="1:17" x14ac:dyDescent="0.25">
      <c r="A1" s="100" t="s">
        <v>12</v>
      </c>
      <c r="B1" s="101"/>
      <c r="C1" s="80"/>
      <c r="D1" s="81"/>
      <c r="G1" s="80"/>
      <c r="H1" s="80"/>
      <c r="I1" s="82"/>
      <c r="J1" s="82"/>
    </row>
    <row r="2" spans="1:17" x14ac:dyDescent="0.25">
      <c r="A2" s="102" t="s">
        <v>14</v>
      </c>
      <c r="B2" s="103" t="str">
        <f>Stats!B2</f>
        <v>January</v>
      </c>
      <c r="C2" s="21">
        <f>Stats!C2</f>
        <v>2025</v>
      </c>
      <c r="D2" s="78"/>
      <c r="G2" s="80"/>
      <c r="H2" s="80"/>
      <c r="I2" s="18"/>
      <c r="J2" s="18"/>
    </row>
    <row r="3" spans="1:17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55"/>
      <c r="L3" s="55"/>
      <c r="M3" s="55"/>
      <c r="N3" s="176" t="s">
        <v>71</v>
      </c>
      <c r="O3" s="177"/>
      <c r="P3" s="178"/>
      <c r="Q3" s="43"/>
    </row>
    <row r="4" spans="1:17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72</v>
      </c>
      <c r="K4" s="55" t="s">
        <v>73</v>
      </c>
      <c r="L4" s="55" t="s">
        <v>74</v>
      </c>
      <c r="M4" s="55" t="s">
        <v>74</v>
      </c>
      <c r="N4" s="55" t="s">
        <v>75</v>
      </c>
      <c r="O4" s="55" t="s">
        <v>76</v>
      </c>
      <c r="P4" s="55" t="s">
        <v>77</v>
      </c>
      <c r="Q4" s="43"/>
    </row>
    <row r="5" spans="1:17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73</v>
      </c>
      <c r="K5" s="55" t="s">
        <v>79</v>
      </c>
      <c r="L5" s="55" t="s">
        <v>78</v>
      </c>
      <c r="M5" s="55" t="s">
        <v>79</v>
      </c>
      <c r="N5" s="55" t="s">
        <v>80</v>
      </c>
      <c r="O5" s="55" t="s">
        <v>81</v>
      </c>
      <c r="P5" s="55" t="s">
        <v>82</v>
      </c>
      <c r="Q5" s="43" t="s">
        <v>70</v>
      </c>
    </row>
    <row r="6" spans="1:17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90"/>
      <c r="L6" s="91"/>
      <c r="M6" s="90"/>
      <c r="N6" s="92"/>
      <c r="O6" s="93"/>
      <c r="P6" s="93"/>
      <c r="Q6" s="94"/>
    </row>
    <row r="7" spans="1:17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12</v>
      </c>
      <c r="H7" s="88">
        <v>11</v>
      </c>
      <c r="I7" s="89">
        <f t="shared" ref="I7:I35" si="2">IFERROR((H7/G7),0)</f>
        <v>0.91666666666666663</v>
      </c>
      <c r="J7" s="19">
        <v>0</v>
      </c>
      <c r="K7" s="90" t="e">
        <f t="shared" ref="K7:K35" si="3">J7/E7</f>
        <v>#DIV/0!</v>
      </c>
      <c r="L7" s="91">
        <v>0</v>
      </c>
      <c r="M7" s="90" t="e">
        <f t="shared" ref="M7:M35" si="4">J7/L7</f>
        <v>#DIV/0!</v>
      </c>
      <c r="N7" s="92">
        <v>0</v>
      </c>
      <c r="O7" s="93">
        <v>0</v>
      </c>
      <c r="P7" s="93">
        <v>0</v>
      </c>
      <c r="Q7" s="94">
        <v>1262.5</v>
      </c>
    </row>
    <row r="8" spans="1:17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90"/>
      <c r="L8" s="91"/>
      <c r="M8" s="90"/>
      <c r="N8" s="92">
        <v>0.25</v>
      </c>
      <c r="O8" s="93"/>
      <c r="P8" s="93"/>
      <c r="Q8" s="94">
        <v>437.5</v>
      </c>
    </row>
    <row r="9" spans="1:17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90"/>
      <c r="L9" s="91"/>
      <c r="M9" s="90"/>
      <c r="N9" s="92"/>
      <c r="O9" s="93"/>
      <c r="P9" s="93"/>
      <c r="Q9" s="94"/>
    </row>
    <row r="10" spans="1:17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90"/>
      <c r="L10" s="91"/>
      <c r="M10" s="90"/>
      <c r="N10" s="92"/>
      <c r="O10" s="93"/>
      <c r="P10" s="93"/>
      <c r="Q10" s="94"/>
    </row>
    <row r="11" spans="1:17" x14ac:dyDescent="0.25">
      <c r="A11" s="19">
        <v>6</v>
      </c>
      <c r="B11" s="87">
        <v>2</v>
      </c>
      <c r="C11" s="87">
        <v>2</v>
      </c>
      <c r="D11" s="40">
        <f t="shared" si="0"/>
        <v>1</v>
      </c>
      <c r="E11" s="22">
        <v>1</v>
      </c>
      <c r="F11" s="40">
        <f t="shared" si="1"/>
        <v>0.5</v>
      </c>
      <c r="G11" s="88">
        <v>8</v>
      </c>
      <c r="H11" s="88">
        <v>8</v>
      </c>
      <c r="I11" s="89">
        <f t="shared" si="2"/>
        <v>1</v>
      </c>
      <c r="J11" s="19">
        <v>0</v>
      </c>
      <c r="K11" s="90">
        <f t="shared" si="3"/>
        <v>0</v>
      </c>
      <c r="L11" s="91">
        <v>0</v>
      </c>
      <c r="M11" s="90" t="e">
        <f t="shared" si="4"/>
        <v>#DIV/0!</v>
      </c>
      <c r="N11" s="92">
        <v>1</v>
      </c>
      <c r="O11" s="93">
        <v>0</v>
      </c>
      <c r="P11" s="93">
        <v>0</v>
      </c>
      <c r="Q11" s="94">
        <v>2098</v>
      </c>
    </row>
    <row r="12" spans="1:17" x14ac:dyDescent="0.25">
      <c r="A12" s="19">
        <v>7</v>
      </c>
      <c r="B12" s="87">
        <v>3</v>
      </c>
      <c r="C12" s="87">
        <v>3</v>
      </c>
      <c r="D12" s="40">
        <f t="shared" si="0"/>
        <v>1</v>
      </c>
      <c r="E12" s="22">
        <v>2</v>
      </c>
      <c r="F12" s="40">
        <f t="shared" si="1"/>
        <v>0.66666666666666663</v>
      </c>
      <c r="G12" s="88">
        <v>7</v>
      </c>
      <c r="H12" s="88">
        <v>8</v>
      </c>
      <c r="I12" s="89">
        <f t="shared" si="2"/>
        <v>1.1428571428571428</v>
      </c>
      <c r="J12" s="19">
        <v>0</v>
      </c>
      <c r="K12" s="90">
        <f t="shared" si="3"/>
        <v>0</v>
      </c>
      <c r="L12" s="91">
        <v>0</v>
      </c>
      <c r="M12" s="90" t="e">
        <f t="shared" si="4"/>
        <v>#DIV/0!</v>
      </c>
      <c r="N12" s="92">
        <v>2</v>
      </c>
      <c r="O12" s="93">
        <v>0</v>
      </c>
      <c r="P12" s="93">
        <v>0</v>
      </c>
      <c r="Q12" s="94">
        <v>4098</v>
      </c>
    </row>
    <row r="13" spans="1:17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5</v>
      </c>
      <c r="H13" s="88">
        <v>5</v>
      </c>
      <c r="I13" s="89">
        <f t="shared" si="2"/>
        <v>1</v>
      </c>
      <c r="J13" s="19">
        <v>0</v>
      </c>
      <c r="K13" s="90" t="e">
        <f t="shared" si="3"/>
        <v>#DIV/0!</v>
      </c>
      <c r="L13" s="91">
        <v>0</v>
      </c>
      <c r="M13" s="90" t="e">
        <f t="shared" si="4"/>
        <v>#DIV/0!</v>
      </c>
      <c r="N13" s="92">
        <v>0</v>
      </c>
      <c r="O13" s="93">
        <v>0</v>
      </c>
      <c r="P13" s="93">
        <v>0</v>
      </c>
      <c r="Q13" s="94">
        <v>299</v>
      </c>
    </row>
    <row r="14" spans="1:17" x14ac:dyDescent="0.25">
      <c r="A14" s="19">
        <v>9</v>
      </c>
      <c r="B14" s="87">
        <v>1</v>
      </c>
      <c r="C14" s="87">
        <v>1</v>
      </c>
      <c r="D14" s="40">
        <f t="shared" si="0"/>
        <v>1</v>
      </c>
      <c r="E14" s="22">
        <v>0</v>
      </c>
      <c r="F14" s="40">
        <f t="shared" si="1"/>
        <v>0</v>
      </c>
      <c r="G14" s="88">
        <v>10</v>
      </c>
      <c r="H14" s="88">
        <v>11</v>
      </c>
      <c r="I14" s="89">
        <f t="shared" si="2"/>
        <v>1.1000000000000001</v>
      </c>
      <c r="J14" s="19">
        <v>0</v>
      </c>
      <c r="K14" s="90" t="e">
        <f t="shared" si="3"/>
        <v>#DIV/0!</v>
      </c>
      <c r="L14" s="91">
        <v>0</v>
      </c>
      <c r="M14" s="90" t="e">
        <f t="shared" si="4"/>
        <v>#DIV/0!</v>
      </c>
      <c r="N14" s="92">
        <v>1.5</v>
      </c>
      <c r="O14" s="93">
        <v>0</v>
      </c>
      <c r="P14" s="93">
        <v>0</v>
      </c>
      <c r="Q14" s="94">
        <v>3549</v>
      </c>
    </row>
    <row r="15" spans="1:17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90"/>
      <c r="L15" s="91"/>
      <c r="M15" s="90"/>
      <c r="N15" s="92"/>
      <c r="O15" s="93"/>
      <c r="P15" s="93"/>
      <c r="Q15" s="94"/>
    </row>
    <row r="16" spans="1:17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90"/>
      <c r="L16" s="91"/>
      <c r="M16" s="90"/>
      <c r="N16" s="92"/>
      <c r="O16" s="93"/>
      <c r="P16" s="93"/>
      <c r="Q16" s="94"/>
    </row>
    <row r="17" spans="1:17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90"/>
      <c r="L17" s="91"/>
      <c r="M17" s="90"/>
      <c r="N17" s="92"/>
      <c r="O17" s="93"/>
      <c r="P17" s="93"/>
      <c r="Q17" s="94"/>
    </row>
    <row r="18" spans="1:17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8</v>
      </c>
      <c r="H18" s="88">
        <v>9</v>
      </c>
      <c r="I18" s="89">
        <f t="shared" si="2"/>
        <v>1.125</v>
      </c>
      <c r="J18" s="19">
        <v>0</v>
      </c>
      <c r="K18" s="90" t="e">
        <f t="shared" si="3"/>
        <v>#DIV/0!</v>
      </c>
      <c r="L18" s="91">
        <v>0</v>
      </c>
      <c r="M18" s="90" t="e">
        <f t="shared" si="4"/>
        <v>#DIV/0!</v>
      </c>
      <c r="N18" s="92">
        <v>1</v>
      </c>
      <c r="O18" s="93">
        <v>0</v>
      </c>
      <c r="P18" s="93">
        <v>0</v>
      </c>
      <c r="Q18" s="94">
        <v>2250</v>
      </c>
    </row>
    <row r="19" spans="1:17" x14ac:dyDescent="0.25">
      <c r="A19" s="19">
        <v>14</v>
      </c>
      <c r="B19" s="87">
        <v>0</v>
      </c>
      <c r="C19" s="87">
        <v>1</v>
      </c>
      <c r="D19" s="40">
        <f t="shared" si="0"/>
        <v>0</v>
      </c>
      <c r="E19" s="22">
        <v>0</v>
      </c>
      <c r="F19" s="40">
        <f t="shared" si="1"/>
        <v>0</v>
      </c>
      <c r="G19" s="88">
        <v>4</v>
      </c>
      <c r="H19" s="88">
        <v>6</v>
      </c>
      <c r="I19" s="89">
        <f t="shared" si="2"/>
        <v>1.5</v>
      </c>
      <c r="J19" s="19">
        <v>0</v>
      </c>
      <c r="K19" s="90" t="e">
        <f t="shared" si="3"/>
        <v>#DIV/0!</v>
      </c>
      <c r="L19" s="91">
        <v>0</v>
      </c>
      <c r="M19" s="90" t="e">
        <f t="shared" si="4"/>
        <v>#DIV/0!</v>
      </c>
      <c r="N19" s="92">
        <v>0</v>
      </c>
      <c r="O19" s="93">
        <v>0</v>
      </c>
      <c r="P19" s="93">
        <v>0</v>
      </c>
      <c r="Q19" s="94">
        <v>49</v>
      </c>
    </row>
    <row r="20" spans="1:17" x14ac:dyDescent="0.25">
      <c r="A20" s="19">
        <v>15</v>
      </c>
      <c r="B20" s="87">
        <v>1</v>
      </c>
      <c r="C20" s="87">
        <v>1</v>
      </c>
      <c r="D20" s="40">
        <f t="shared" si="0"/>
        <v>1</v>
      </c>
      <c r="E20" s="22">
        <v>0</v>
      </c>
      <c r="F20" s="40">
        <f t="shared" si="1"/>
        <v>0</v>
      </c>
      <c r="G20" s="88">
        <v>9</v>
      </c>
      <c r="H20" s="88">
        <v>9</v>
      </c>
      <c r="I20" s="89">
        <f t="shared" si="2"/>
        <v>1</v>
      </c>
      <c r="J20" s="19">
        <v>0</v>
      </c>
      <c r="K20" s="90" t="e">
        <f t="shared" si="3"/>
        <v>#DIV/0!</v>
      </c>
      <c r="L20" s="91">
        <v>0</v>
      </c>
      <c r="M20" s="90" t="e">
        <f t="shared" si="4"/>
        <v>#DIV/0!</v>
      </c>
      <c r="N20" s="92">
        <v>0</v>
      </c>
      <c r="O20" s="93">
        <v>0</v>
      </c>
      <c r="P20" s="93">
        <v>0</v>
      </c>
      <c r="Q20" s="94">
        <v>299</v>
      </c>
    </row>
    <row r="21" spans="1:17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4</v>
      </c>
      <c r="H21" s="88">
        <v>5</v>
      </c>
      <c r="I21" s="89">
        <f t="shared" si="2"/>
        <v>1.25</v>
      </c>
      <c r="J21" s="19">
        <v>0</v>
      </c>
      <c r="K21" s="90" t="e">
        <f t="shared" si="3"/>
        <v>#DIV/0!</v>
      </c>
      <c r="L21" s="91">
        <v>0</v>
      </c>
      <c r="M21" s="90" t="e">
        <f t="shared" si="4"/>
        <v>#DIV/0!</v>
      </c>
      <c r="N21" s="92">
        <v>0</v>
      </c>
      <c r="O21" s="93">
        <v>1</v>
      </c>
      <c r="P21" s="93">
        <v>0</v>
      </c>
      <c r="Q21" s="94">
        <v>3500</v>
      </c>
    </row>
    <row r="22" spans="1:17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90"/>
      <c r="L22" s="91"/>
      <c r="M22" s="90"/>
      <c r="N22" s="92"/>
      <c r="O22" s="93"/>
      <c r="P22" s="93"/>
      <c r="Q22" s="94"/>
    </row>
    <row r="23" spans="1:17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90"/>
      <c r="L23" s="91"/>
      <c r="M23" s="90"/>
      <c r="N23" s="92"/>
      <c r="O23" s="93"/>
      <c r="P23" s="93"/>
      <c r="Q23" s="94"/>
    </row>
    <row r="24" spans="1:17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90"/>
      <c r="L24" s="91"/>
      <c r="M24" s="90"/>
      <c r="N24" s="92"/>
      <c r="O24" s="93"/>
      <c r="P24" s="93"/>
      <c r="Q24" s="94"/>
    </row>
    <row r="25" spans="1:17" x14ac:dyDescent="0.25">
      <c r="A25" s="19">
        <v>20</v>
      </c>
      <c r="B25" s="87">
        <v>1</v>
      </c>
      <c r="C25" s="87">
        <v>1</v>
      </c>
      <c r="D25" s="40">
        <f t="shared" si="0"/>
        <v>1</v>
      </c>
      <c r="E25" s="22">
        <v>1</v>
      </c>
      <c r="F25" s="40">
        <f t="shared" si="1"/>
        <v>1</v>
      </c>
      <c r="G25" s="88">
        <v>8</v>
      </c>
      <c r="H25" s="88">
        <v>8</v>
      </c>
      <c r="I25" s="89">
        <f t="shared" si="2"/>
        <v>1</v>
      </c>
      <c r="J25" s="19">
        <v>0</v>
      </c>
      <c r="K25" s="90">
        <f t="shared" si="3"/>
        <v>0</v>
      </c>
      <c r="L25" s="91">
        <v>0</v>
      </c>
      <c r="M25" s="90" t="e">
        <f t="shared" si="4"/>
        <v>#DIV/0!</v>
      </c>
      <c r="N25" s="92">
        <v>0.5</v>
      </c>
      <c r="O25" s="93">
        <v>0</v>
      </c>
      <c r="P25" s="93">
        <v>0</v>
      </c>
      <c r="Q25" s="94">
        <v>1424</v>
      </c>
    </row>
    <row r="26" spans="1:17" x14ac:dyDescent="0.25">
      <c r="A26" s="19">
        <v>21</v>
      </c>
      <c r="B26" s="87">
        <v>1</v>
      </c>
      <c r="C26" s="87">
        <v>1</v>
      </c>
      <c r="D26" s="40">
        <f t="shared" si="0"/>
        <v>1</v>
      </c>
      <c r="E26" s="22">
        <v>1</v>
      </c>
      <c r="F26" s="40">
        <f t="shared" si="1"/>
        <v>1</v>
      </c>
      <c r="G26" s="88">
        <v>4</v>
      </c>
      <c r="H26" s="88">
        <v>5</v>
      </c>
      <c r="I26" s="89">
        <f t="shared" si="2"/>
        <v>1.25</v>
      </c>
      <c r="J26" s="19">
        <v>0</v>
      </c>
      <c r="K26" s="90">
        <f t="shared" si="3"/>
        <v>0</v>
      </c>
      <c r="L26" s="91">
        <v>0</v>
      </c>
      <c r="M26" s="90" t="e">
        <f t="shared" si="4"/>
        <v>#DIV/0!</v>
      </c>
      <c r="N26" s="92">
        <v>0.33</v>
      </c>
      <c r="O26" s="93">
        <v>0</v>
      </c>
      <c r="P26" s="93">
        <v>0</v>
      </c>
      <c r="Q26" s="94">
        <v>1583.33</v>
      </c>
    </row>
    <row r="27" spans="1:17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7</v>
      </c>
      <c r="H27" s="88">
        <v>6</v>
      </c>
      <c r="I27" s="89">
        <f t="shared" si="2"/>
        <v>0.8571428571428571</v>
      </c>
      <c r="J27" s="19">
        <v>0</v>
      </c>
      <c r="K27" s="90" t="e">
        <f t="shared" si="3"/>
        <v>#DIV/0!</v>
      </c>
      <c r="L27" s="91">
        <v>0</v>
      </c>
      <c r="M27" s="90" t="e">
        <f t="shared" si="4"/>
        <v>#DIV/0!</v>
      </c>
      <c r="N27" s="92">
        <v>0</v>
      </c>
      <c r="O27" s="93">
        <v>0</v>
      </c>
      <c r="P27" s="93">
        <v>0</v>
      </c>
      <c r="Q27" s="94">
        <v>882.34</v>
      </c>
    </row>
    <row r="28" spans="1:17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8</v>
      </c>
      <c r="H28" s="88">
        <v>7</v>
      </c>
      <c r="I28" s="89">
        <f t="shared" si="2"/>
        <v>0.875</v>
      </c>
      <c r="J28" s="19">
        <v>0</v>
      </c>
      <c r="K28" s="90" t="e">
        <f t="shared" si="3"/>
        <v>#DIV/0!</v>
      </c>
      <c r="L28" s="91">
        <v>0</v>
      </c>
      <c r="M28" s="90" t="e">
        <f t="shared" si="4"/>
        <v>#DIV/0!</v>
      </c>
      <c r="N28" s="92">
        <v>0</v>
      </c>
      <c r="O28" s="93">
        <v>1</v>
      </c>
      <c r="P28" s="93">
        <v>0</v>
      </c>
      <c r="Q28" s="94">
        <v>2750</v>
      </c>
    </row>
    <row r="29" spans="1:17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90"/>
      <c r="L29" s="91"/>
      <c r="M29" s="90"/>
      <c r="N29" s="92"/>
      <c r="O29" s="93"/>
      <c r="P29" s="93"/>
      <c r="Q29" s="94"/>
    </row>
    <row r="30" spans="1:17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90"/>
      <c r="L30" s="91"/>
      <c r="M30" s="90"/>
      <c r="N30" s="92"/>
      <c r="O30" s="93"/>
      <c r="P30" s="93"/>
      <c r="Q30" s="94"/>
    </row>
    <row r="31" spans="1:17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90"/>
      <c r="L31" s="91"/>
      <c r="M31" s="90"/>
      <c r="N31" s="92"/>
      <c r="O31" s="93"/>
      <c r="P31" s="93"/>
      <c r="Q31" s="94"/>
    </row>
    <row r="32" spans="1:17" x14ac:dyDescent="0.25">
      <c r="A32" s="19">
        <v>27</v>
      </c>
      <c r="B32" s="87">
        <v>0</v>
      </c>
      <c r="C32" s="87">
        <v>1</v>
      </c>
      <c r="D32" s="40">
        <f t="shared" si="0"/>
        <v>0</v>
      </c>
      <c r="E32" s="22">
        <v>1</v>
      </c>
      <c r="F32" s="40">
        <f t="shared" si="1"/>
        <v>1</v>
      </c>
      <c r="G32" s="88">
        <v>10</v>
      </c>
      <c r="H32" s="88">
        <v>9</v>
      </c>
      <c r="I32" s="89">
        <f t="shared" si="2"/>
        <v>0.9</v>
      </c>
      <c r="J32" s="19">
        <v>0</v>
      </c>
      <c r="K32" s="90">
        <f t="shared" si="3"/>
        <v>0</v>
      </c>
      <c r="L32" s="91">
        <v>0</v>
      </c>
      <c r="M32" s="90" t="e">
        <f t="shared" si="4"/>
        <v>#DIV/0!</v>
      </c>
      <c r="N32" s="92">
        <v>1</v>
      </c>
      <c r="O32" s="93">
        <v>0</v>
      </c>
      <c r="P32" s="93">
        <v>0</v>
      </c>
      <c r="Q32" s="94">
        <v>2049</v>
      </c>
    </row>
    <row r="33" spans="1:17" x14ac:dyDescent="0.25">
      <c r="A33" s="19">
        <v>28</v>
      </c>
      <c r="B33" s="87">
        <v>3</v>
      </c>
      <c r="C33" s="87">
        <v>3</v>
      </c>
      <c r="D33" s="40">
        <f t="shared" si="0"/>
        <v>1</v>
      </c>
      <c r="E33" s="22">
        <v>2</v>
      </c>
      <c r="F33" s="40">
        <f t="shared" si="1"/>
        <v>0.66666666666666663</v>
      </c>
      <c r="G33" s="88">
        <v>4</v>
      </c>
      <c r="H33" s="88">
        <v>5</v>
      </c>
      <c r="I33" s="89">
        <f t="shared" si="2"/>
        <v>1.25</v>
      </c>
      <c r="J33" s="19">
        <v>0</v>
      </c>
      <c r="K33" s="90">
        <f t="shared" si="3"/>
        <v>0</v>
      </c>
      <c r="L33" s="91">
        <v>0</v>
      </c>
      <c r="M33" s="90" t="e">
        <f t="shared" si="4"/>
        <v>#DIV/0!</v>
      </c>
      <c r="N33" s="92">
        <v>1</v>
      </c>
      <c r="O33" s="93">
        <v>0</v>
      </c>
      <c r="P33" s="93">
        <v>0</v>
      </c>
      <c r="Q33" s="94">
        <v>2049</v>
      </c>
    </row>
    <row r="34" spans="1:17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8</v>
      </c>
      <c r="H34" s="88">
        <v>9</v>
      </c>
      <c r="I34" s="89">
        <f t="shared" si="2"/>
        <v>1.125</v>
      </c>
      <c r="J34" s="19">
        <v>0</v>
      </c>
      <c r="K34" s="90" t="e">
        <f t="shared" si="3"/>
        <v>#DIV/0!</v>
      </c>
      <c r="L34" s="91">
        <v>0</v>
      </c>
      <c r="M34" s="90" t="e">
        <f t="shared" si="4"/>
        <v>#DIV/0!</v>
      </c>
      <c r="N34" s="92">
        <v>0</v>
      </c>
      <c r="O34" s="93">
        <v>0</v>
      </c>
      <c r="P34" s="93">
        <v>0</v>
      </c>
      <c r="Q34" s="94">
        <v>250</v>
      </c>
    </row>
    <row r="35" spans="1:17" x14ac:dyDescent="0.25">
      <c r="A35" s="19">
        <v>30</v>
      </c>
      <c r="B35" s="87">
        <v>1</v>
      </c>
      <c r="C35" s="87">
        <v>1</v>
      </c>
      <c r="D35" s="40">
        <f t="shared" si="0"/>
        <v>1</v>
      </c>
      <c r="E35" s="22">
        <v>1</v>
      </c>
      <c r="F35" s="40">
        <f t="shared" si="1"/>
        <v>1</v>
      </c>
      <c r="G35" s="88">
        <v>8</v>
      </c>
      <c r="H35" s="88">
        <v>10</v>
      </c>
      <c r="I35" s="89">
        <f t="shared" si="2"/>
        <v>1.25</v>
      </c>
      <c r="J35" s="19">
        <v>0</v>
      </c>
      <c r="K35" s="90">
        <f t="shared" si="3"/>
        <v>0</v>
      </c>
      <c r="L35" s="91">
        <v>0</v>
      </c>
      <c r="M35" s="90" t="e">
        <f t="shared" si="4"/>
        <v>#DIV/0!</v>
      </c>
      <c r="N35" s="92">
        <v>2</v>
      </c>
      <c r="O35" s="93">
        <v>0.25</v>
      </c>
      <c r="P35" s="93">
        <v>0</v>
      </c>
      <c r="Q35" s="94">
        <v>5159.5</v>
      </c>
    </row>
    <row r="36" spans="1:17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90"/>
      <c r="L36" s="91"/>
      <c r="M36" s="90"/>
      <c r="N36" s="92"/>
      <c r="O36" s="93"/>
      <c r="P36" s="93"/>
      <c r="Q36" s="94"/>
    </row>
    <row r="37" spans="1:17" x14ac:dyDescent="0.25">
      <c r="A37" s="107" t="s">
        <v>28</v>
      </c>
      <c r="B37" s="77">
        <f>SUM(B6:B36)</f>
        <v>13</v>
      </c>
      <c r="C37" s="77">
        <f>SUM(C6:C36)</f>
        <v>15</v>
      </c>
      <c r="D37" s="78">
        <f t="shared" ref="D37:D38" si="5">IFERROR((C37/B37),0)</f>
        <v>1.1538461538461537</v>
      </c>
      <c r="E37" s="56">
        <f>SUM(E6:E36)</f>
        <v>9</v>
      </c>
      <c r="G37" s="77">
        <f>SUM(G6:G36)</f>
        <v>124</v>
      </c>
      <c r="H37" s="77">
        <f>SUM(H6:H36)</f>
        <v>131</v>
      </c>
      <c r="I37" s="95">
        <f t="shared" ref="I37:I38" si="6">IFERROR((H37/G37),0)</f>
        <v>1.0564516129032258</v>
      </c>
      <c r="J37" s="96">
        <f>SUM(J6:J36)</f>
        <v>0</v>
      </c>
      <c r="L37" s="56">
        <f>SUM(L6:L36)</f>
        <v>0</v>
      </c>
      <c r="N37" s="44">
        <f>SUM(N6:N36)</f>
        <v>10.58</v>
      </c>
      <c r="O37" s="44">
        <f t="shared" ref="O37:Q37" si="7">SUM(O6:O36)</f>
        <v>2.25</v>
      </c>
      <c r="P37" s="44">
        <f t="shared" si="7"/>
        <v>0</v>
      </c>
      <c r="Q37" s="97">
        <f t="shared" si="7"/>
        <v>33989.17</v>
      </c>
    </row>
    <row r="38" spans="1:17" x14ac:dyDescent="0.25">
      <c r="A38" s="107" t="s">
        <v>52</v>
      </c>
      <c r="B38" s="77">
        <f>B37/$B$39</f>
        <v>0.76470588235294112</v>
      </c>
      <c r="C38" s="77">
        <f>C37/$B$39</f>
        <v>0.88235294117647056</v>
      </c>
      <c r="D38" s="78">
        <f t="shared" si="5"/>
        <v>1.153846153846154</v>
      </c>
      <c r="E38" s="56">
        <f>E37/B39</f>
        <v>0.52941176470588236</v>
      </c>
      <c r="G38" s="77">
        <f>G37/$B$39</f>
        <v>7.2941176470588234</v>
      </c>
      <c r="H38" s="77">
        <f>H37/$B$39</f>
        <v>7.7058823529411766</v>
      </c>
      <c r="I38" s="95">
        <f t="shared" si="6"/>
        <v>1.0564516129032258</v>
      </c>
      <c r="J38" s="96">
        <f>J37/B39</f>
        <v>0</v>
      </c>
      <c r="L38" s="56">
        <f>L37/B39</f>
        <v>0</v>
      </c>
      <c r="N38" s="44"/>
    </row>
    <row r="39" spans="1:17" x14ac:dyDescent="0.25">
      <c r="A39" s="107" t="s">
        <v>53</v>
      </c>
      <c r="B39" s="80">
        <f>Stats!B39</f>
        <v>17</v>
      </c>
      <c r="C39" s="80"/>
      <c r="D39" s="81"/>
      <c r="G39" s="80"/>
      <c r="H39" s="80"/>
      <c r="I39" s="98"/>
      <c r="J39" s="82"/>
      <c r="N39" s="44"/>
    </row>
    <row r="40" spans="1:17" x14ac:dyDescent="0.25">
      <c r="A40" s="34"/>
      <c r="B40" s="80"/>
      <c r="C40" s="80"/>
      <c r="D40" s="81"/>
      <c r="G40" s="80"/>
      <c r="H40" s="80"/>
      <c r="I40" s="98"/>
      <c r="J40" s="82"/>
    </row>
    <row r="41" spans="1:17" x14ac:dyDescent="0.25">
      <c r="A41" s="34"/>
      <c r="B41" s="80"/>
      <c r="C41" s="80"/>
      <c r="D41" s="81"/>
      <c r="G41" s="80"/>
      <c r="H41" s="80"/>
      <c r="I41" s="98"/>
      <c r="J41" s="82"/>
    </row>
    <row r="42" spans="1:17" x14ac:dyDescent="0.25">
      <c r="A42" s="34"/>
      <c r="B42" s="80"/>
      <c r="C42" s="80"/>
      <c r="D42" s="81"/>
      <c r="G42" s="80"/>
      <c r="H42" s="80"/>
      <c r="I42" s="98"/>
      <c r="J42" s="82"/>
    </row>
    <row r="43" spans="1:17" x14ac:dyDescent="0.25">
      <c r="A43" s="34"/>
      <c r="B43" s="80"/>
      <c r="C43" s="80"/>
      <c r="D43" s="81"/>
      <c r="G43" s="80"/>
      <c r="H43" s="80"/>
      <c r="I43" s="98"/>
      <c r="J43" s="82"/>
    </row>
    <row r="44" spans="1:17" x14ac:dyDescent="0.25">
      <c r="A44" s="34"/>
      <c r="B44" s="80"/>
      <c r="C44" s="80"/>
      <c r="D44" s="81"/>
      <c r="G44" s="80"/>
      <c r="H44" s="80"/>
      <c r="I44" s="98"/>
      <c r="J44" s="82"/>
    </row>
    <row r="45" spans="1:17" x14ac:dyDescent="0.25">
      <c r="A45" s="34"/>
      <c r="B45" s="80"/>
      <c r="C45" s="80"/>
      <c r="D45" s="81"/>
      <c r="G45" s="80"/>
      <c r="H45" s="80"/>
      <c r="I45" s="98"/>
      <c r="J45" s="82"/>
    </row>
    <row r="46" spans="1:17" x14ac:dyDescent="0.25">
      <c r="A46" s="34"/>
      <c r="B46" s="80" t="s">
        <v>29</v>
      </c>
      <c r="C46" s="80"/>
      <c r="D46" s="81"/>
      <c r="G46" s="80"/>
      <c r="H46" s="80"/>
      <c r="I46" s="98"/>
      <c r="J46" s="82"/>
    </row>
  </sheetData>
  <mergeCells count="1">
    <mergeCell ref="N3:P3"/>
  </mergeCells>
  <phoneticPr fontId="5" type="noConversion"/>
  <dataValidations count="3">
    <dataValidation allowBlank="1" showInputMessage="1" showErrorMessage="1" prompt="Actual Day 1" sqref="C4" xr:uid="{615E74B4-07ED-4776-B616-619D9F5BBDA7}"/>
    <dataValidation allowBlank="1" showInputMessage="1" showErrorMessage="1" prompt="Scheduled Day 1" sqref="B4" xr:uid="{84A124EC-916B-4D6A-A893-35C8D8C88869}"/>
    <dataValidation type="list" allowBlank="1" showInputMessage="1" showErrorMessage="1" sqref="I2:J2" xr:uid="{5A0B8A3A-B97E-4935-BC76-AEE5E49459C6}">
      <formula1>#REF!</formula1>
    </dataValidation>
  </dataValidations>
  <hyperlinks>
    <hyperlink ref="D4" location="Stats!D4" tooltip="Scheduled to Actual Day 1 % rate" display="Sch/Act" xr:uid="{90A41B63-4B6A-435F-B2E2-957FF1D4AC2C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7B08-4F00-48B7-9E4E-3347A69D4B22}">
  <dimension ref="A1:Q46"/>
  <sheetViews>
    <sheetView topLeftCell="D1" zoomScale="80" zoomScaleNormal="80" workbookViewId="0">
      <selection activeCell="Q36" sqref="Q36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2.7109375" style="17" bestFit="1" customWidth="1"/>
    <col min="11" max="11" width="16.7109375" style="35" bestFit="1" customWidth="1"/>
    <col min="12" max="12" width="12.7109375" bestFit="1" customWidth="1"/>
    <col min="13" max="13" width="16" style="35" bestFit="1" customWidth="1"/>
    <col min="14" max="16" width="10.28515625" customWidth="1"/>
    <col min="17" max="17" width="12.42578125" style="14" customWidth="1"/>
  </cols>
  <sheetData>
    <row r="1" spans="1:17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7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7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 t="s">
        <v>83</v>
      </c>
      <c r="K3" s="55"/>
      <c r="L3" s="55"/>
      <c r="M3" s="55"/>
      <c r="N3" s="176" t="s">
        <v>71</v>
      </c>
      <c r="O3" s="177"/>
      <c r="P3" s="178"/>
      <c r="Q3" s="43"/>
    </row>
    <row r="4" spans="1:17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84</v>
      </c>
      <c r="K4" s="55" t="s">
        <v>73</v>
      </c>
      <c r="L4" s="55" t="s">
        <v>74</v>
      </c>
      <c r="M4" s="55" t="s">
        <v>74</v>
      </c>
      <c r="N4" s="55" t="s">
        <v>75</v>
      </c>
      <c r="O4" s="55" t="s">
        <v>76</v>
      </c>
      <c r="P4" s="55" t="s">
        <v>77</v>
      </c>
      <c r="Q4" s="43"/>
    </row>
    <row r="5" spans="1:17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73</v>
      </c>
      <c r="K5" s="55" t="s">
        <v>79</v>
      </c>
      <c r="L5" s="55" t="s">
        <v>78</v>
      </c>
      <c r="M5" s="55" t="s">
        <v>79</v>
      </c>
      <c r="N5" s="55" t="s">
        <v>85</v>
      </c>
      <c r="O5" s="55" t="s">
        <v>86</v>
      </c>
      <c r="P5" s="55" t="s">
        <v>87</v>
      </c>
      <c r="Q5" s="43" t="s">
        <v>70</v>
      </c>
    </row>
    <row r="6" spans="1:17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90"/>
      <c r="L6" s="91"/>
      <c r="M6" s="90"/>
      <c r="N6" s="76"/>
      <c r="O6" s="104"/>
      <c r="P6" s="104"/>
      <c r="Q6" s="105"/>
    </row>
    <row r="7" spans="1:17" x14ac:dyDescent="0.25">
      <c r="A7" s="19">
        <v>2</v>
      </c>
      <c r="B7" s="87">
        <v>1</v>
      </c>
      <c r="C7" s="87">
        <v>1</v>
      </c>
      <c r="D7" s="40">
        <f t="shared" ref="D7:D35" si="0">IFERROR((C7/B7),0)</f>
        <v>1</v>
      </c>
      <c r="E7" s="22">
        <v>1</v>
      </c>
      <c r="F7" s="40">
        <f t="shared" ref="F7:F35" si="1">E7/C7</f>
        <v>1</v>
      </c>
      <c r="G7" s="88">
        <v>9</v>
      </c>
      <c r="H7" s="88">
        <v>8</v>
      </c>
      <c r="I7" s="89">
        <f t="shared" ref="I7:I38" si="2">IFERROR((H7/G7),0)</f>
        <v>0.88888888888888884</v>
      </c>
      <c r="J7" s="19">
        <v>0</v>
      </c>
      <c r="K7" s="90">
        <f t="shared" ref="K7:K35" si="3">J7/E7</f>
        <v>0</v>
      </c>
      <c r="L7" s="91">
        <v>0</v>
      </c>
      <c r="M7" s="90" t="e">
        <f t="shared" ref="M7:M35" si="4">J7/L7</f>
        <v>#DIV/0!</v>
      </c>
      <c r="N7" s="76">
        <v>0</v>
      </c>
      <c r="O7" s="104">
        <v>0.25</v>
      </c>
      <c r="P7" s="104">
        <v>0</v>
      </c>
      <c r="Q7" s="105">
        <v>525</v>
      </c>
    </row>
    <row r="8" spans="1:17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90"/>
      <c r="L8" s="91"/>
      <c r="M8" s="90"/>
      <c r="N8" s="76"/>
      <c r="O8" s="104"/>
      <c r="P8" s="104"/>
      <c r="Q8" s="105"/>
    </row>
    <row r="9" spans="1:17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90"/>
      <c r="L9" s="91"/>
      <c r="M9" s="90"/>
      <c r="N9" s="76"/>
      <c r="O9" s="104"/>
      <c r="P9" s="104"/>
      <c r="Q9" s="105"/>
    </row>
    <row r="10" spans="1:17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90"/>
      <c r="L10" s="91"/>
      <c r="M10" s="90"/>
      <c r="N10" s="76"/>
      <c r="O10" s="104"/>
      <c r="P10" s="104"/>
      <c r="Q10" s="105"/>
    </row>
    <row r="11" spans="1:17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13</v>
      </c>
      <c r="H11" s="88">
        <v>12</v>
      </c>
      <c r="I11" s="89">
        <f t="shared" si="2"/>
        <v>0.92307692307692313</v>
      </c>
      <c r="J11" s="19">
        <v>0</v>
      </c>
      <c r="K11" s="90" t="e">
        <f t="shared" si="3"/>
        <v>#DIV/0!</v>
      </c>
      <c r="L11" s="91">
        <v>0</v>
      </c>
      <c r="M11" s="90" t="e">
        <f t="shared" si="4"/>
        <v>#DIV/0!</v>
      </c>
      <c r="N11" s="76">
        <v>0</v>
      </c>
      <c r="O11" s="104">
        <v>1</v>
      </c>
      <c r="P11" s="104">
        <v>0</v>
      </c>
      <c r="Q11" s="105">
        <v>1920</v>
      </c>
    </row>
    <row r="12" spans="1:17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3</v>
      </c>
      <c r="H12" s="88">
        <v>3</v>
      </c>
      <c r="I12" s="89">
        <f t="shared" si="2"/>
        <v>1</v>
      </c>
      <c r="J12" s="19">
        <v>0</v>
      </c>
      <c r="K12" s="90" t="e">
        <f t="shared" si="3"/>
        <v>#DIV/0!</v>
      </c>
      <c r="L12" s="91">
        <v>0</v>
      </c>
      <c r="M12" s="90" t="e">
        <f t="shared" si="4"/>
        <v>#DIV/0!</v>
      </c>
      <c r="N12" s="76">
        <v>0</v>
      </c>
      <c r="O12" s="104">
        <v>0</v>
      </c>
      <c r="P12" s="104">
        <v>0</v>
      </c>
      <c r="Q12" s="105">
        <v>0</v>
      </c>
    </row>
    <row r="13" spans="1:17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5</v>
      </c>
      <c r="H13" s="88">
        <v>5</v>
      </c>
      <c r="I13" s="89">
        <f t="shared" si="2"/>
        <v>1</v>
      </c>
      <c r="J13" s="19">
        <v>0</v>
      </c>
      <c r="K13" s="90" t="e">
        <f t="shared" si="3"/>
        <v>#DIV/0!</v>
      </c>
      <c r="L13" s="91">
        <v>0</v>
      </c>
      <c r="M13" s="90" t="e">
        <f t="shared" si="4"/>
        <v>#DIV/0!</v>
      </c>
      <c r="N13" s="76">
        <v>0</v>
      </c>
      <c r="O13" s="104">
        <v>0</v>
      </c>
      <c r="P13" s="104">
        <v>0</v>
      </c>
      <c r="Q13" s="105">
        <v>220</v>
      </c>
    </row>
    <row r="14" spans="1:17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13</v>
      </c>
      <c r="H14" s="88">
        <v>13</v>
      </c>
      <c r="I14" s="89">
        <f t="shared" si="2"/>
        <v>1</v>
      </c>
      <c r="J14" s="19">
        <v>0</v>
      </c>
      <c r="K14" s="90" t="e">
        <f t="shared" si="3"/>
        <v>#DIV/0!</v>
      </c>
      <c r="L14" s="91">
        <v>0</v>
      </c>
      <c r="M14" s="90" t="e">
        <f t="shared" si="4"/>
        <v>#DIV/0!</v>
      </c>
      <c r="N14" s="76">
        <v>0</v>
      </c>
      <c r="O14" s="104">
        <v>0</v>
      </c>
      <c r="P14" s="104">
        <v>0</v>
      </c>
      <c r="Q14" s="105">
        <v>220</v>
      </c>
    </row>
    <row r="15" spans="1:17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90"/>
      <c r="L15" s="91"/>
      <c r="M15" s="90"/>
      <c r="N15" s="76"/>
      <c r="O15" s="104"/>
      <c r="P15" s="104"/>
      <c r="Q15" s="105"/>
    </row>
    <row r="16" spans="1:17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90"/>
      <c r="L16" s="91"/>
      <c r="M16" s="90"/>
      <c r="N16" s="76"/>
      <c r="O16" s="104"/>
      <c r="P16" s="104"/>
      <c r="Q16" s="105"/>
    </row>
    <row r="17" spans="1:17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90"/>
      <c r="L17" s="91"/>
      <c r="M17" s="90"/>
      <c r="N17" s="76"/>
      <c r="O17" s="104"/>
      <c r="P17" s="104"/>
      <c r="Q17" s="105"/>
    </row>
    <row r="18" spans="1:17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11</v>
      </c>
      <c r="H18" s="88">
        <v>8</v>
      </c>
      <c r="I18" s="89">
        <f t="shared" si="2"/>
        <v>0.72727272727272729</v>
      </c>
      <c r="J18" s="19">
        <v>0</v>
      </c>
      <c r="K18" s="90" t="e">
        <f t="shared" si="3"/>
        <v>#DIV/0!</v>
      </c>
      <c r="L18" s="91">
        <v>0</v>
      </c>
      <c r="M18" s="90" t="e">
        <f t="shared" si="4"/>
        <v>#DIV/0!</v>
      </c>
      <c r="N18" s="76">
        <v>0</v>
      </c>
      <c r="O18" s="104">
        <v>0</v>
      </c>
      <c r="P18" s="104">
        <v>0</v>
      </c>
      <c r="Q18" s="105">
        <v>110</v>
      </c>
    </row>
    <row r="19" spans="1:17" x14ac:dyDescent="0.25">
      <c r="A19" s="19">
        <v>14</v>
      </c>
      <c r="B19" s="87">
        <v>1</v>
      </c>
      <c r="C19" s="87">
        <v>1</v>
      </c>
      <c r="D19" s="40">
        <f t="shared" si="0"/>
        <v>1</v>
      </c>
      <c r="E19" s="22">
        <v>1</v>
      </c>
      <c r="F19" s="40">
        <f t="shared" si="1"/>
        <v>1</v>
      </c>
      <c r="G19" s="88">
        <v>7</v>
      </c>
      <c r="H19" s="88">
        <v>7</v>
      </c>
      <c r="I19" s="89">
        <f t="shared" si="2"/>
        <v>1</v>
      </c>
      <c r="J19" s="19">
        <v>0</v>
      </c>
      <c r="K19" s="90">
        <f t="shared" si="3"/>
        <v>0</v>
      </c>
      <c r="L19" s="91">
        <v>0</v>
      </c>
      <c r="M19" s="90" t="e">
        <f t="shared" si="4"/>
        <v>#DIV/0!</v>
      </c>
      <c r="N19" s="76">
        <v>0</v>
      </c>
      <c r="O19" s="104">
        <v>0</v>
      </c>
      <c r="P19" s="104">
        <v>0</v>
      </c>
      <c r="Q19" s="105">
        <v>220</v>
      </c>
    </row>
    <row r="20" spans="1:17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9</v>
      </c>
      <c r="H20" s="88">
        <v>8</v>
      </c>
      <c r="I20" s="89">
        <f t="shared" si="2"/>
        <v>0.88888888888888884</v>
      </c>
      <c r="J20" s="19">
        <v>0</v>
      </c>
      <c r="K20" s="90" t="e">
        <f t="shared" si="3"/>
        <v>#DIV/0!</v>
      </c>
      <c r="L20" s="91">
        <v>0</v>
      </c>
      <c r="M20" s="90" t="e">
        <f t="shared" si="4"/>
        <v>#DIV/0!</v>
      </c>
      <c r="N20" s="76">
        <v>0</v>
      </c>
      <c r="O20" s="104">
        <v>0.25</v>
      </c>
      <c r="P20" s="104">
        <v>0</v>
      </c>
      <c r="Q20" s="105">
        <v>570</v>
      </c>
    </row>
    <row r="21" spans="1:17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9</v>
      </c>
      <c r="H21" s="88">
        <v>9</v>
      </c>
      <c r="I21" s="89">
        <f t="shared" si="2"/>
        <v>1</v>
      </c>
      <c r="J21" s="19">
        <v>0</v>
      </c>
      <c r="K21" s="90" t="e">
        <f t="shared" si="3"/>
        <v>#DIV/0!</v>
      </c>
      <c r="L21" s="91">
        <v>0</v>
      </c>
      <c r="M21" s="90" t="e">
        <f t="shared" si="4"/>
        <v>#DIV/0!</v>
      </c>
      <c r="N21" s="76">
        <v>0</v>
      </c>
      <c r="O21" s="104">
        <v>1</v>
      </c>
      <c r="P21" s="104">
        <v>0</v>
      </c>
      <c r="Q21" s="105">
        <v>2310</v>
      </c>
    </row>
    <row r="22" spans="1:17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90"/>
      <c r="L22" s="91"/>
      <c r="M22" s="90"/>
      <c r="N22" s="76"/>
      <c r="O22" s="104"/>
      <c r="P22" s="104"/>
      <c r="Q22" s="105"/>
    </row>
    <row r="23" spans="1:17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90"/>
      <c r="L23" s="91"/>
      <c r="M23" s="90"/>
      <c r="N23" s="76"/>
      <c r="O23" s="104"/>
      <c r="P23" s="104"/>
      <c r="Q23" s="105"/>
    </row>
    <row r="24" spans="1:17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90"/>
      <c r="L24" s="91"/>
      <c r="M24" s="90"/>
      <c r="N24" s="76"/>
      <c r="O24" s="104"/>
      <c r="P24" s="104"/>
      <c r="Q24" s="105"/>
    </row>
    <row r="25" spans="1:17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10</v>
      </c>
      <c r="H25" s="88">
        <v>9</v>
      </c>
      <c r="I25" s="89">
        <f t="shared" si="2"/>
        <v>0.9</v>
      </c>
      <c r="J25" s="19">
        <v>0</v>
      </c>
      <c r="K25" s="90" t="e">
        <f t="shared" si="3"/>
        <v>#DIV/0!</v>
      </c>
      <c r="L25" s="91">
        <v>0</v>
      </c>
      <c r="M25" s="90" t="e">
        <f t="shared" si="4"/>
        <v>#DIV/0!</v>
      </c>
      <c r="N25" s="76">
        <v>0</v>
      </c>
      <c r="O25" s="104">
        <v>0</v>
      </c>
      <c r="P25" s="104">
        <v>0</v>
      </c>
      <c r="Q25" s="105">
        <v>0</v>
      </c>
    </row>
    <row r="26" spans="1:17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4</v>
      </c>
      <c r="H26" s="88">
        <v>4</v>
      </c>
      <c r="I26" s="89">
        <f t="shared" si="2"/>
        <v>1</v>
      </c>
      <c r="J26" s="19">
        <v>0</v>
      </c>
      <c r="K26" s="90" t="e">
        <f t="shared" si="3"/>
        <v>#DIV/0!</v>
      </c>
      <c r="L26" s="91">
        <v>0</v>
      </c>
      <c r="M26" s="90" t="e">
        <f t="shared" si="4"/>
        <v>#DIV/0!</v>
      </c>
      <c r="N26" s="76">
        <v>0</v>
      </c>
      <c r="O26" s="104">
        <v>0</v>
      </c>
      <c r="P26" s="104">
        <v>0</v>
      </c>
      <c r="Q26" s="105">
        <v>0</v>
      </c>
    </row>
    <row r="27" spans="1:17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6</v>
      </c>
      <c r="H27" s="88">
        <v>7</v>
      </c>
      <c r="I27" s="89">
        <f t="shared" si="2"/>
        <v>1.1666666666666667</v>
      </c>
      <c r="J27" s="19">
        <v>0</v>
      </c>
      <c r="K27" s="90" t="e">
        <f t="shared" si="3"/>
        <v>#DIV/0!</v>
      </c>
      <c r="L27" s="91">
        <v>0</v>
      </c>
      <c r="M27" s="90" t="e">
        <f t="shared" si="4"/>
        <v>#DIV/0!</v>
      </c>
      <c r="N27" s="76">
        <v>0</v>
      </c>
      <c r="O27" s="104">
        <v>1</v>
      </c>
      <c r="P27" s="104">
        <v>0</v>
      </c>
      <c r="Q27" s="105">
        <v>1320</v>
      </c>
    </row>
    <row r="28" spans="1:17" x14ac:dyDescent="0.25">
      <c r="A28" s="19">
        <v>23</v>
      </c>
      <c r="B28" s="87">
        <v>2</v>
      </c>
      <c r="C28" s="87">
        <v>2</v>
      </c>
      <c r="D28" s="40">
        <f t="shared" si="0"/>
        <v>1</v>
      </c>
      <c r="E28" s="22">
        <v>1</v>
      </c>
      <c r="F28" s="40">
        <f t="shared" si="1"/>
        <v>0.5</v>
      </c>
      <c r="G28" s="88">
        <v>8</v>
      </c>
      <c r="H28" s="88">
        <v>7</v>
      </c>
      <c r="I28" s="89">
        <f t="shared" si="2"/>
        <v>0.875</v>
      </c>
      <c r="J28" s="19">
        <v>0</v>
      </c>
      <c r="K28" s="90">
        <f t="shared" si="3"/>
        <v>0</v>
      </c>
      <c r="L28" s="91">
        <v>0</v>
      </c>
      <c r="M28" s="90" t="e">
        <f t="shared" si="4"/>
        <v>#DIV/0!</v>
      </c>
      <c r="N28" s="76">
        <v>0</v>
      </c>
      <c r="O28" s="104">
        <v>0</v>
      </c>
      <c r="P28" s="104">
        <v>0</v>
      </c>
      <c r="Q28" s="105">
        <v>110</v>
      </c>
    </row>
    <row r="29" spans="1:17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90"/>
      <c r="L29" s="91"/>
      <c r="M29" s="90"/>
      <c r="N29" s="76"/>
      <c r="O29" s="104"/>
      <c r="P29" s="104"/>
      <c r="Q29" s="105"/>
    </row>
    <row r="30" spans="1:17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90"/>
      <c r="L30" s="91"/>
      <c r="M30" s="90"/>
      <c r="N30" s="76"/>
      <c r="O30" s="104"/>
      <c r="P30" s="104"/>
      <c r="Q30" s="105"/>
    </row>
    <row r="31" spans="1:17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90"/>
      <c r="L31" s="91"/>
      <c r="M31" s="90"/>
      <c r="N31" s="76"/>
      <c r="O31" s="104"/>
      <c r="P31" s="104"/>
      <c r="Q31" s="105"/>
    </row>
    <row r="32" spans="1:17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9</v>
      </c>
      <c r="H32" s="88">
        <v>8</v>
      </c>
      <c r="I32" s="89">
        <f t="shared" si="2"/>
        <v>0.88888888888888884</v>
      </c>
      <c r="J32" s="19">
        <v>0</v>
      </c>
      <c r="K32" s="90" t="e">
        <f t="shared" si="3"/>
        <v>#DIV/0!</v>
      </c>
      <c r="L32" s="91">
        <v>0</v>
      </c>
      <c r="M32" s="90" t="e">
        <f t="shared" si="4"/>
        <v>#DIV/0!</v>
      </c>
      <c r="N32" s="76">
        <v>0</v>
      </c>
      <c r="O32" s="104">
        <v>0.25</v>
      </c>
      <c r="P32" s="104">
        <v>0</v>
      </c>
      <c r="Q32" s="105">
        <v>460</v>
      </c>
    </row>
    <row r="33" spans="1:17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3</v>
      </c>
      <c r="H33" s="88">
        <v>4</v>
      </c>
      <c r="I33" s="89">
        <f t="shared" si="2"/>
        <v>1.3333333333333333</v>
      </c>
      <c r="J33" s="19">
        <v>0</v>
      </c>
      <c r="K33" s="90" t="e">
        <f t="shared" si="3"/>
        <v>#DIV/0!</v>
      </c>
      <c r="L33" s="91">
        <v>0</v>
      </c>
      <c r="M33" s="90" t="e">
        <f t="shared" si="4"/>
        <v>#DIV/0!</v>
      </c>
      <c r="N33" s="76">
        <v>0</v>
      </c>
      <c r="O33" s="104">
        <v>0</v>
      </c>
      <c r="P33" s="104">
        <v>0</v>
      </c>
      <c r="Q33" s="105">
        <v>0</v>
      </c>
    </row>
    <row r="34" spans="1:17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9</v>
      </c>
      <c r="H34" s="88">
        <v>7</v>
      </c>
      <c r="I34" s="89">
        <f t="shared" si="2"/>
        <v>0.77777777777777779</v>
      </c>
      <c r="J34" s="19">
        <v>0</v>
      </c>
      <c r="K34" s="90" t="e">
        <f t="shared" si="3"/>
        <v>#DIV/0!</v>
      </c>
      <c r="L34" s="91">
        <v>0</v>
      </c>
      <c r="M34" s="90" t="e">
        <f t="shared" si="4"/>
        <v>#DIV/0!</v>
      </c>
      <c r="N34" s="76">
        <v>0</v>
      </c>
      <c r="O34" s="104">
        <v>0</v>
      </c>
      <c r="P34" s="104">
        <v>0</v>
      </c>
      <c r="Q34" s="105">
        <v>696.67</v>
      </c>
    </row>
    <row r="35" spans="1:17" x14ac:dyDescent="0.25">
      <c r="A35" s="19">
        <v>30</v>
      </c>
      <c r="B35" s="87">
        <v>1</v>
      </c>
      <c r="C35" s="87">
        <v>1</v>
      </c>
      <c r="D35" s="40">
        <f t="shared" si="0"/>
        <v>1</v>
      </c>
      <c r="E35" s="22">
        <v>0</v>
      </c>
      <c r="F35" s="40">
        <f t="shared" si="1"/>
        <v>0</v>
      </c>
      <c r="G35" s="88">
        <v>12</v>
      </c>
      <c r="H35" s="88">
        <v>11</v>
      </c>
      <c r="I35" s="89">
        <f t="shared" si="2"/>
        <v>0.91666666666666663</v>
      </c>
      <c r="J35" s="19">
        <v>0</v>
      </c>
      <c r="K35" s="90" t="e">
        <f t="shared" si="3"/>
        <v>#DIV/0!</v>
      </c>
      <c r="L35" s="91">
        <v>0</v>
      </c>
      <c r="M35" s="90" t="e">
        <f t="shared" si="4"/>
        <v>#DIV/0!</v>
      </c>
      <c r="N35" s="76">
        <v>0</v>
      </c>
      <c r="O35" s="104">
        <v>0</v>
      </c>
      <c r="P35" s="104">
        <v>0</v>
      </c>
      <c r="Q35" s="105">
        <v>220</v>
      </c>
    </row>
    <row r="36" spans="1:17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90"/>
      <c r="L36" s="91"/>
      <c r="M36" s="90"/>
      <c r="N36" s="76"/>
      <c r="O36" s="104"/>
      <c r="P36" s="104"/>
      <c r="Q36" s="105"/>
    </row>
    <row r="37" spans="1:17" x14ac:dyDescent="0.25">
      <c r="A37" s="9" t="s">
        <v>28</v>
      </c>
      <c r="B37" s="77">
        <f>SUM(B6:B36)</f>
        <v>5</v>
      </c>
      <c r="C37" s="77">
        <f>SUM(C6:C36)</f>
        <v>5</v>
      </c>
      <c r="D37" s="78">
        <f t="shared" ref="D37:D38" si="5">IFERROR((C37/B37),0)</f>
        <v>1</v>
      </c>
      <c r="E37" s="56"/>
      <c r="F37" s="56"/>
      <c r="G37" s="77">
        <f>SUM(G6:G36)</f>
        <v>140</v>
      </c>
      <c r="H37" s="77">
        <f>SUM(H6:H36)</f>
        <v>130</v>
      </c>
      <c r="I37" s="95">
        <f t="shared" si="2"/>
        <v>0.9285714285714286</v>
      </c>
      <c r="J37" s="96">
        <f>SUM(J6:J36)</f>
        <v>0</v>
      </c>
      <c r="K37" s="83"/>
      <c r="L37" s="56">
        <f>SUM(L6:L36)</f>
        <v>0</v>
      </c>
      <c r="M37" s="83"/>
      <c r="N37" s="34">
        <f>SUM(N6:N36)</f>
        <v>0</v>
      </c>
      <c r="O37" s="34">
        <f t="shared" ref="O37:Q37" si="6">SUM(O6:O36)</f>
        <v>3.75</v>
      </c>
      <c r="P37" s="34">
        <f t="shared" si="6"/>
        <v>0</v>
      </c>
      <c r="Q37" s="13">
        <f t="shared" si="6"/>
        <v>8901.67</v>
      </c>
    </row>
    <row r="38" spans="1:17" x14ac:dyDescent="0.25">
      <c r="A38" s="9" t="s">
        <v>52</v>
      </c>
      <c r="B38" s="77">
        <f>B37/$B$39</f>
        <v>0.29411764705882354</v>
      </c>
      <c r="C38" s="77">
        <f>C37/$B$39</f>
        <v>0.29411764705882354</v>
      </c>
      <c r="D38" s="78">
        <f t="shared" si="5"/>
        <v>1</v>
      </c>
      <c r="E38" s="56"/>
      <c r="F38" s="56"/>
      <c r="G38" s="77">
        <f>G37/$B$39</f>
        <v>8.235294117647058</v>
      </c>
      <c r="H38" s="77">
        <f>H37/$B$39</f>
        <v>7.6470588235294121</v>
      </c>
      <c r="I38" s="95">
        <f t="shared" si="2"/>
        <v>0.92857142857142871</v>
      </c>
      <c r="J38" s="96">
        <f>J37/B39</f>
        <v>0</v>
      </c>
      <c r="K38" s="83"/>
      <c r="L38" s="56">
        <f>L37/B39</f>
        <v>0</v>
      </c>
      <c r="M38" s="83"/>
      <c r="N38" s="34"/>
      <c r="O38" s="56"/>
      <c r="P38" s="56"/>
      <c r="Q38" s="106"/>
    </row>
    <row r="39" spans="1:17" x14ac:dyDescent="0.25">
      <c r="A39" s="9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83"/>
      <c r="L39" s="56"/>
      <c r="M39" s="83"/>
      <c r="N39" s="34"/>
      <c r="O39" s="56"/>
      <c r="P39" s="56"/>
      <c r="Q39" s="106"/>
    </row>
    <row r="40" spans="1:17" x14ac:dyDescent="0.25">
      <c r="A40" s="9"/>
      <c r="B40" s="2"/>
      <c r="C40" s="2"/>
      <c r="D40" s="3"/>
      <c r="G40" s="2"/>
      <c r="H40" s="2"/>
      <c r="I40" s="16"/>
      <c r="J40" s="15"/>
    </row>
    <row r="41" spans="1:17" x14ac:dyDescent="0.25">
      <c r="A41" s="9"/>
      <c r="B41" s="2"/>
      <c r="C41" s="2"/>
      <c r="D41" s="3"/>
      <c r="G41" s="2"/>
      <c r="H41" s="2"/>
      <c r="I41" s="16"/>
      <c r="J41" s="15"/>
    </row>
    <row r="42" spans="1:17" x14ac:dyDescent="0.25">
      <c r="A42" s="9"/>
      <c r="B42" s="2"/>
      <c r="C42" s="2"/>
      <c r="D42" s="3"/>
      <c r="G42" s="2"/>
      <c r="H42" s="2"/>
      <c r="I42" s="16"/>
      <c r="J42" s="15"/>
    </row>
    <row r="43" spans="1:17" x14ac:dyDescent="0.25">
      <c r="A43" s="9"/>
      <c r="B43" s="2"/>
      <c r="C43" s="2"/>
      <c r="D43" s="3"/>
      <c r="G43" s="2"/>
      <c r="H43" s="2"/>
      <c r="I43" s="16"/>
      <c r="J43" s="15"/>
    </row>
    <row r="44" spans="1:17" x14ac:dyDescent="0.25">
      <c r="A44" s="9"/>
      <c r="B44" s="2"/>
      <c r="C44" s="2"/>
      <c r="D44" s="3"/>
      <c r="G44" s="2"/>
      <c r="H44" s="2"/>
      <c r="I44" s="16"/>
      <c r="J44" s="15"/>
    </row>
    <row r="45" spans="1:17" x14ac:dyDescent="0.25">
      <c r="A45" s="9"/>
      <c r="B45" s="2"/>
      <c r="C45" s="2"/>
      <c r="D45" s="3"/>
      <c r="G45" s="2"/>
      <c r="H45" s="2"/>
      <c r="I45" s="16"/>
      <c r="J45" s="15"/>
    </row>
    <row r="46" spans="1:17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mergeCells count="1">
    <mergeCell ref="N3:P3"/>
  </mergeCells>
  <dataValidations count="3">
    <dataValidation type="list" allowBlank="1" showInputMessage="1" showErrorMessage="1" sqref="I2:J2" xr:uid="{F5F2A21C-C252-47C6-BFC4-75E11B6D7AC7}">
      <formula1>#REF!</formula1>
    </dataValidation>
    <dataValidation allowBlank="1" showInputMessage="1" showErrorMessage="1" prompt="Scheduled Day 1" sqref="B4" xr:uid="{9C4B745D-BF2E-4EF6-B3C2-2D98C81C17F1}"/>
    <dataValidation allowBlank="1" showInputMessage="1" showErrorMessage="1" prompt="Actual Day 1" sqref="C4" xr:uid="{562EC576-A533-4E11-B771-1C64D66521D7}"/>
  </dataValidations>
  <hyperlinks>
    <hyperlink ref="D4" location="Stats!D4" tooltip="Scheduled to Actual Day 1 % rate" display="Sch/Act" xr:uid="{0D7B08E1-4574-4A13-AC7B-041B6DA60718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75C9-C626-4EA9-B601-BB83A994370C}">
  <dimension ref="A1:O46"/>
  <sheetViews>
    <sheetView zoomScale="80" zoomScaleNormal="80" workbookViewId="0">
      <selection activeCell="P35" sqref="P35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6" width="6.140625" customWidth="1"/>
    <col min="7" max="7" width="9.140625" style="17" customWidth="1"/>
    <col min="8" max="8" width="10.7109375" style="17" customWidth="1"/>
    <col min="9" max="9" width="9.140625" style="56" bestFit="1" customWidth="1"/>
    <col min="10" max="10" width="9.5703125" style="56" bestFit="1" customWidth="1"/>
    <col min="11" max="11" width="8.85546875" style="56" bestFit="1" customWidth="1"/>
    <col min="12" max="12" width="10.5703125" style="56" bestFit="1" customWidth="1"/>
    <col min="13" max="13" width="10.5703125" style="56" customWidth="1"/>
    <col min="14" max="14" width="7.140625" style="56" customWidth="1"/>
    <col min="15" max="15" width="11.42578125" style="14" customWidth="1"/>
  </cols>
  <sheetData>
    <row r="1" spans="1:15" x14ac:dyDescent="0.25">
      <c r="A1" s="1" t="s">
        <v>12</v>
      </c>
      <c r="B1" s="2"/>
      <c r="C1" s="2"/>
      <c r="D1" s="3"/>
      <c r="E1" s="2"/>
      <c r="F1" s="2"/>
      <c r="G1" s="15"/>
      <c r="H1" s="15"/>
    </row>
    <row r="2" spans="1:15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E2" s="2"/>
      <c r="F2" s="2"/>
      <c r="G2" s="18"/>
      <c r="H2" s="18"/>
    </row>
    <row r="3" spans="1:15" x14ac:dyDescent="0.25">
      <c r="A3" s="86" t="s">
        <v>15</v>
      </c>
      <c r="B3" s="59"/>
      <c r="C3" s="59"/>
      <c r="D3" s="60"/>
      <c r="E3" s="54" t="s">
        <v>16</v>
      </c>
      <c r="F3" s="54"/>
      <c r="G3" s="54"/>
      <c r="H3" s="54"/>
      <c r="I3" s="57"/>
      <c r="J3" s="57"/>
      <c r="K3" s="57"/>
      <c r="L3" s="57"/>
      <c r="M3" s="57"/>
      <c r="N3" s="57"/>
      <c r="O3" s="58"/>
    </row>
    <row r="4" spans="1:15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54" t="s">
        <v>19</v>
      </c>
      <c r="F4" s="54" t="s">
        <v>20</v>
      </c>
      <c r="G4" s="54" t="s">
        <v>25</v>
      </c>
      <c r="H4" s="54" t="s">
        <v>83</v>
      </c>
      <c r="I4" s="57"/>
      <c r="J4" s="57"/>
      <c r="K4" s="57"/>
      <c r="L4" s="57"/>
      <c r="M4" s="57"/>
      <c r="N4" s="57" t="s">
        <v>88</v>
      </c>
      <c r="O4" s="58"/>
    </row>
    <row r="5" spans="1:15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54" t="s">
        <v>25</v>
      </c>
      <c r="F5" s="54" t="s">
        <v>25</v>
      </c>
      <c r="G5" s="54" t="s">
        <v>23</v>
      </c>
      <c r="H5" s="54" t="s">
        <v>89</v>
      </c>
      <c r="I5" s="57" t="s">
        <v>90</v>
      </c>
      <c r="J5" s="57" t="s">
        <v>91</v>
      </c>
      <c r="K5" s="57" t="s">
        <v>92</v>
      </c>
      <c r="L5" s="57" t="s">
        <v>93</v>
      </c>
      <c r="M5" s="57" t="s">
        <v>94</v>
      </c>
      <c r="N5" s="57" t="s">
        <v>95</v>
      </c>
      <c r="O5" s="58" t="s">
        <v>70</v>
      </c>
    </row>
    <row r="6" spans="1:15" x14ac:dyDescent="0.25">
      <c r="A6" s="19">
        <v>1</v>
      </c>
      <c r="B6" s="87"/>
      <c r="C6" s="87"/>
      <c r="D6" s="40"/>
      <c r="E6" s="88"/>
      <c r="F6" s="88"/>
      <c r="G6" s="89"/>
      <c r="H6" s="19"/>
      <c r="I6" s="108"/>
      <c r="J6" s="108"/>
      <c r="K6" s="108"/>
      <c r="L6" s="108"/>
      <c r="M6" s="108"/>
      <c r="N6" s="108"/>
      <c r="O6" s="105"/>
    </row>
    <row r="7" spans="1:15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88">
        <v>0</v>
      </c>
      <c r="F7" s="88">
        <v>0</v>
      </c>
      <c r="G7" s="89">
        <f t="shared" ref="G7:G38" si="1">IFERROR((F7/E7),0)</f>
        <v>0</v>
      </c>
      <c r="H7" s="19">
        <f t="shared" ref="H7:H35" si="2">I7+J7+K7+L7+M7+(N7*3)</f>
        <v>0</v>
      </c>
      <c r="I7" s="108">
        <v>0</v>
      </c>
      <c r="J7" s="108">
        <v>0</v>
      </c>
      <c r="K7" s="108">
        <v>0</v>
      </c>
      <c r="L7" s="108">
        <v>0</v>
      </c>
      <c r="M7" s="108">
        <v>0</v>
      </c>
      <c r="N7" s="108">
        <v>0</v>
      </c>
      <c r="O7" s="105">
        <v>0</v>
      </c>
    </row>
    <row r="8" spans="1:15" x14ac:dyDescent="0.25">
      <c r="A8" s="19">
        <v>3</v>
      </c>
      <c r="B8" s="87"/>
      <c r="C8" s="87"/>
      <c r="D8" s="40"/>
      <c r="E8" s="88"/>
      <c r="F8" s="88"/>
      <c r="G8" s="89"/>
      <c r="H8" s="19"/>
      <c r="I8" s="108"/>
      <c r="J8" s="108"/>
      <c r="K8" s="108"/>
      <c r="L8" s="108"/>
      <c r="M8" s="108"/>
      <c r="N8" s="108"/>
      <c r="O8" s="105"/>
    </row>
    <row r="9" spans="1:15" x14ac:dyDescent="0.25">
      <c r="A9" s="19">
        <v>4</v>
      </c>
      <c r="B9" s="87"/>
      <c r="C9" s="87"/>
      <c r="D9" s="40"/>
      <c r="E9" s="88"/>
      <c r="F9" s="88"/>
      <c r="G9" s="89"/>
      <c r="H9" s="19"/>
      <c r="I9" s="108"/>
      <c r="J9" s="108"/>
      <c r="K9" s="108"/>
      <c r="L9" s="108"/>
      <c r="M9" s="108"/>
      <c r="N9" s="108"/>
      <c r="O9" s="105"/>
    </row>
    <row r="10" spans="1:15" x14ac:dyDescent="0.25">
      <c r="A10" s="19">
        <v>5</v>
      </c>
      <c r="B10" s="87"/>
      <c r="C10" s="87"/>
      <c r="D10" s="40"/>
      <c r="E10" s="88"/>
      <c r="F10" s="88"/>
      <c r="G10" s="89"/>
      <c r="H10" s="19"/>
      <c r="I10" s="108"/>
      <c r="J10" s="108"/>
      <c r="K10" s="108"/>
      <c r="L10" s="108"/>
      <c r="M10" s="108"/>
      <c r="N10" s="108"/>
      <c r="O10" s="105"/>
    </row>
    <row r="11" spans="1:15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88">
        <v>0</v>
      </c>
      <c r="F11" s="88">
        <v>0</v>
      </c>
      <c r="G11" s="89">
        <f t="shared" si="1"/>
        <v>0</v>
      </c>
      <c r="H11" s="19">
        <f t="shared" si="2"/>
        <v>0</v>
      </c>
      <c r="I11" s="108">
        <v>0</v>
      </c>
      <c r="J11" s="108">
        <v>0</v>
      </c>
      <c r="K11" s="108">
        <v>0</v>
      </c>
      <c r="L11" s="108">
        <v>0</v>
      </c>
      <c r="M11" s="108">
        <v>0</v>
      </c>
      <c r="N11" s="108">
        <v>0</v>
      </c>
      <c r="O11" s="105">
        <v>0</v>
      </c>
    </row>
    <row r="12" spans="1:15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88">
        <v>1</v>
      </c>
      <c r="F12" s="88">
        <v>1</v>
      </c>
      <c r="G12" s="89">
        <f t="shared" si="1"/>
        <v>1</v>
      </c>
      <c r="H12" s="19">
        <f t="shared" si="2"/>
        <v>0</v>
      </c>
      <c r="I12" s="108">
        <v>0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5">
        <v>0</v>
      </c>
    </row>
    <row r="13" spans="1:15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88">
        <v>0</v>
      </c>
      <c r="F13" s="88">
        <v>0</v>
      </c>
      <c r="G13" s="89">
        <f t="shared" si="1"/>
        <v>0</v>
      </c>
      <c r="H13" s="19">
        <f t="shared" si="2"/>
        <v>0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5">
        <v>75</v>
      </c>
    </row>
    <row r="14" spans="1:15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88">
        <v>0</v>
      </c>
      <c r="F14" s="88">
        <v>0</v>
      </c>
      <c r="G14" s="89">
        <f t="shared" si="1"/>
        <v>0</v>
      </c>
      <c r="H14" s="19">
        <f t="shared" si="2"/>
        <v>0</v>
      </c>
      <c r="I14" s="108">
        <v>0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5">
        <v>0</v>
      </c>
    </row>
    <row r="15" spans="1:15" x14ac:dyDescent="0.25">
      <c r="A15" s="19">
        <v>10</v>
      </c>
      <c r="B15" s="87"/>
      <c r="C15" s="87"/>
      <c r="D15" s="40"/>
      <c r="E15" s="88"/>
      <c r="F15" s="88"/>
      <c r="G15" s="89"/>
      <c r="H15" s="19"/>
      <c r="I15" s="108"/>
      <c r="J15" s="108"/>
      <c r="K15" s="108"/>
      <c r="L15" s="108"/>
      <c r="M15" s="108"/>
      <c r="N15" s="108"/>
      <c r="O15" s="105"/>
    </row>
    <row r="16" spans="1:15" x14ac:dyDescent="0.25">
      <c r="A16" s="19">
        <v>11</v>
      </c>
      <c r="B16" s="87"/>
      <c r="C16" s="87"/>
      <c r="D16" s="40"/>
      <c r="E16" s="88"/>
      <c r="F16" s="88"/>
      <c r="G16" s="89"/>
      <c r="H16" s="19"/>
      <c r="I16" s="108"/>
      <c r="J16" s="108"/>
      <c r="K16" s="108"/>
      <c r="L16" s="108"/>
      <c r="M16" s="108"/>
      <c r="N16" s="108"/>
      <c r="O16" s="105"/>
    </row>
    <row r="17" spans="1:15" x14ac:dyDescent="0.25">
      <c r="A17" s="19">
        <v>12</v>
      </c>
      <c r="B17" s="87"/>
      <c r="C17" s="87"/>
      <c r="D17" s="40"/>
      <c r="E17" s="88"/>
      <c r="F17" s="88"/>
      <c r="G17" s="89"/>
      <c r="H17" s="19"/>
      <c r="I17" s="108"/>
      <c r="J17" s="108"/>
      <c r="K17" s="108"/>
      <c r="L17" s="108"/>
      <c r="M17" s="108"/>
      <c r="N17" s="108"/>
      <c r="O17" s="105"/>
    </row>
    <row r="18" spans="1:15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88">
        <v>1</v>
      </c>
      <c r="F18" s="88">
        <v>1</v>
      </c>
      <c r="G18" s="89">
        <f t="shared" si="1"/>
        <v>1</v>
      </c>
      <c r="H18" s="19">
        <f t="shared" si="2"/>
        <v>2</v>
      </c>
      <c r="I18" s="108">
        <v>1</v>
      </c>
      <c r="J18" s="108">
        <v>0</v>
      </c>
      <c r="K18" s="108">
        <v>1</v>
      </c>
      <c r="L18" s="108">
        <v>0</v>
      </c>
      <c r="M18" s="108">
        <v>0</v>
      </c>
      <c r="N18" s="108">
        <v>0</v>
      </c>
      <c r="O18" s="105">
        <v>100</v>
      </c>
    </row>
    <row r="19" spans="1:15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88">
        <v>1</v>
      </c>
      <c r="F19" s="88">
        <v>1</v>
      </c>
      <c r="G19" s="89">
        <f t="shared" si="1"/>
        <v>1</v>
      </c>
      <c r="H19" s="19">
        <f t="shared" si="2"/>
        <v>1</v>
      </c>
      <c r="I19" s="108">
        <v>0</v>
      </c>
      <c r="J19" s="108">
        <v>0</v>
      </c>
      <c r="K19" s="108">
        <v>1</v>
      </c>
      <c r="L19" s="108">
        <v>0</v>
      </c>
      <c r="M19" s="108">
        <v>0</v>
      </c>
      <c r="N19" s="108">
        <v>0</v>
      </c>
      <c r="O19" s="105">
        <v>50</v>
      </c>
    </row>
    <row r="20" spans="1:15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88">
        <v>0</v>
      </c>
      <c r="F20" s="88">
        <v>0</v>
      </c>
      <c r="G20" s="89">
        <f t="shared" si="1"/>
        <v>0</v>
      </c>
      <c r="H20" s="19">
        <f t="shared" si="2"/>
        <v>0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5">
        <v>150</v>
      </c>
    </row>
    <row r="21" spans="1:15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88">
        <v>0</v>
      </c>
      <c r="F21" s="88">
        <v>0</v>
      </c>
      <c r="G21" s="89">
        <f t="shared" si="1"/>
        <v>0</v>
      </c>
      <c r="H21" s="19">
        <f t="shared" si="2"/>
        <v>1</v>
      </c>
      <c r="I21" s="108">
        <v>1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5">
        <v>50</v>
      </c>
    </row>
    <row r="22" spans="1:15" x14ac:dyDescent="0.25">
      <c r="A22" s="19">
        <v>17</v>
      </c>
      <c r="B22" s="87"/>
      <c r="C22" s="87"/>
      <c r="D22" s="40"/>
      <c r="E22" s="88"/>
      <c r="F22" s="88"/>
      <c r="G22" s="89"/>
      <c r="H22" s="19"/>
      <c r="I22" s="108"/>
      <c r="J22" s="108"/>
      <c r="K22" s="108"/>
      <c r="L22" s="108"/>
      <c r="M22" s="108"/>
      <c r="N22" s="108"/>
      <c r="O22" s="105"/>
    </row>
    <row r="23" spans="1:15" x14ac:dyDescent="0.25">
      <c r="A23" s="19">
        <v>18</v>
      </c>
      <c r="B23" s="87"/>
      <c r="C23" s="87"/>
      <c r="D23" s="40"/>
      <c r="E23" s="88"/>
      <c r="F23" s="88"/>
      <c r="G23" s="89"/>
      <c r="H23" s="19"/>
      <c r="I23" s="108"/>
      <c r="J23" s="108"/>
      <c r="K23" s="108"/>
      <c r="L23" s="108"/>
      <c r="M23" s="108"/>
      <c r="N23" s="108"/>
      <c r="O23" s="105"/>
    </row>
    <row r="24" spans="1:15" x14ac:dyDescent="0.25">
      <c r="A24" s="19">
        <v>19</v>
      </c>
      <c r="B24" s="87"/>
      <c r="C24" s="87"/>
      <c r="D24" s="40"/>
      <c r="E24" s="88"/>
      <c r="F24" s="88"/>
      <c r="G24" s="89"/>
      <c r="H24" s="19"/>
      <c r="I24" s="108"/>
      <c r="J24" s="108"/>
      <c r="K24" s="108"/>
      <c r="L24" s="108"/>
      <c r="M24" s="108"/>
      <c r="N24" s="108"/>
      <c r="O24" s="105"/>
    </row>
    <row r="25" spans="1:15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88">
        <v>0</v>
      </c>
      <c r="F25" s="88">
        <v>0</v>
      </c>
      <c r="G25" s="89">
        <f t="shared" si="1"/>
        <v>0</v>
      </c>
      <c r="H25" s="19">
        <f t="shared" si="2"/>
        <v>0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5">
        <v>0</v>
      </c>
    </row>
    <row r="26" spans="1:15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88">
        <v>1</v>
      </c>
      <c r="F26" s="88">
        <v>1</v>
      </c>
      <c r="G26" s="89">
        <f t="shared" si="1"/>
        <v>1</v>
      </c>
      <c r="H26" s="19">
        <f t="shared" si="2"/>
        <v>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5">
        <v>0</v>
      </c>
    </row>
    <row r="27" spans="1:15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88">
        <v>0</v>
      </c>
      <c r="F27" s="88">
        <v>0</v>
      </c>
      <c r="G27" s="89">
        <f t="shared" si="1"/>
        <v>0</v>
      </c>
      <c r="H27" s="19">
        <f t="shared" si="2"/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5">
        <v>0</v>
      </c>
    </row>
    <row r="28" spans="1:15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88">
        <v>0</v>
      </c>
      <c r="F28" s="88">
        <v>0</v>
      </c>
      <c r="G28" s="89">
        <f t="shared" si="1"/>
        <v>0</v>
      </c>
      <c r="H28" s="19">
        <f t="shared" si="2"/>
        <v>1</v>
      </c>
      <c r="I28" s="108">
        <v>1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5">
        <v>50</v>
      </c>
    </row>
    <row r="29" spans="1:15" x14ac:dyDescent="0.25">
      <c r="A29" s="19">
        <v>24</v>
      </c>
      <c r="B29" s="87"/>
      <c r="C29" s="87"/>
      <c r="D29" s="40"/>
      <c r="E29" s="88"/>
      <c r="F29" s="88"/>
      <c r="G29" s="89"/>
      <c r="H29" s="19"/>
      <c r="I29" s="108"/>
      <c r="J29" s="108"/>
      <c r="K29" s="108"/>
      <c r="L29" s="108"/>
      <c r="M29" s="108"/>
      <c r="N29" s="108"/>
      <c r="O29" s="105"/>
    </row>
    <row r="30" spans="1:15" x14ac:dyDescent="0.25">
      <c r="A30" s="19">
        <v>25</v>
      </c>
      <c r="B30" s="87"/>
      <c r="C30" s="87"/>
      <c r="D30" s="40"/>
      <c r="E30" s="88"/>
      <c r="F30" s="88"/>
      <c r="G30" s="89"/>
      <c r="H30" s="19"/>
      <c r="I30" s="108"/>
      <c r="J30" s="108"/>
      <c r="K30" s="108"/>
      <c r="L30" s="108"/>
      <c r="M30" s="108"/>
      <c r="N30" s="108"/>
      <c r="O30" s="105"/>
    </row>
    <row r="31" spans="1:15" x14ac:dyDescent="0.25">
      <c r="A31" s="19">
        <v>26</v>
      </c>
      <c r="B31" s="87"/>
      <c r="C31" s="87"/>
      <c r="D31" s="40"/>
      <c r="E31" s="88"/>
      <c r="F31" s="88"/>
      <c r="G31" s="89"/>
      <c r="H31" s="19"/>
      <c r="I31" s="108"/>
      <c r="J31" s="108"/>
      <c r="K31" s="108"/>
      <c r="L31" s="108"/>
      <c r="M31" s="108"/>
      <c r="N31" s="108"/>
      <c r="O31" s="105"/>
    </row>
    <row r="32" spans="1:15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88">
        <v>0</v>
      </c>
      <c r="F32" s="88">
        <v>0</v>
      </c>
      <c r="G32" s="89">
        <f t="shared" si="1"/>
        <v>0</v>
      </c>
      <c r="H32" s="19">
        <f t="shared" si="2"/>
        <v>0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5">
        <v>0</v>
      </c>
    </row>
    <row r="33" spans="1:15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88">
        <v>0</v>
      </c>
      <c r="F33" s="88">
        <v>0</v>
      </c>
      <c r="G33" s="89">
        <f t="shared" si="1"/>
        <v>0</v>
      </c>
      <c r="H33" s="19">
        <f t="shared" si="2"/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5">
        <v>0</v>
      </c>
    </row>
    <row r="34" spans="1:15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88">
        <v>0</v>
      </c>
      <c r="F34" s="88">
        <v>0</v>
      </c>
      <c r="G34" s="89">
        <f t="shared" si="1"/>
        <v>0</v>
      </c>
      <c r="H34" s="19">
        <f t="shared" si="2"/>
        <v>0</v>
      </c>
      <c r="I34" s="108">
        <v>0</v>
      </c>
      <c r="J34" s="108">
        <v>0</v>
      </c>
      <c r="K34" s="108">
        <v>0</v>
      </c>
      <c r="L34" s="108">
        <v>0</v>
      </c>
      <c r="M34" s="108">
        <v>0</v>
      </c>
      <c r="N34" s="108">
        <v>0</v>
      </c>
      <c r="O34" s="105">
        <v>0</v>
      </c>
    </row>
    <row r="35" spans="1:15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88">
        <v>1</v>
      </c>
      <c r="F35" s="88">
        <v>1</v>
      </c>
      <c r="G35" s="89">
        <f t="shared" si="1"/>
        <v>1</v>
      </c>
      <c r="H35" s="19">
        <f t="shared" si="2"/>
        <v>1</v>
      </c>
      <c r="I35" s="108">
        <v>0</v>
      </c>
      <c r="J35" s="108">
        <v>0</v>
      </c>
      <c r="K35" s="108">
        <v>1</v>
      </c>
      <c r="L35" s="108">
        <v>0</v>
      </c>
      <c r="M35" s="108">
        <v>0</v>
      </c>
      <c r="N35" s="108">
        <v>0</v>
      </c>
      <c r="O35" s="105">
        <v>50</v>
      </c>
    </row>
    <row r="36" spans="1:15" x14ac:dyDescent="0.25">
      <c r="A36" s="19">
        <v>31</v>
      </c>
      <c r="B36" s="87"/>
      <c r="C36" s="87"/>
      <c r="D36" s="40"/>
      <c r="E36" s="88"/>
      <c r="F36" s="88"/>
      <c r="G36" s="89"/>
      <c r="H36" s="19"/>
      <c r="I36" s="108"/>
      <c r="J36" s="108"/>
      <c r="K36" s="108"/>
      <c r="L36" s="108"/>
      <c r="M36" s="108"/>
      <c r="N36" s="108"/>
      <c r="O36" s="105"/>
    </row>
    <row r="37" spans="1:15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3">IFERROR((C37/B37),0)</f>
        <v>0</v>
      </c>
      <c r="E37" s="77">
        <f>SUM(E6:E36)</f>
        <v>5</v>
      </c>
      <c r="F37" s="77">
        <f>SUM(F6:F36)</f>
        <v>5</v>
      </c>
      <c r="G37" s="95">
        <f t="shared" si="1"/>
        <v>1</v>
      </c>
      <c r="H37" s="96">
        <f t="shared" ref="H37:N37" si="4">SUM(H6:H36)</f>
        <v>6</v>
      </c>
      <c r="I37" s="151">
        <f t="shared" si="4"/>
        <v>3</v>
      </c>
      <c r="J37" s="151">
        <f t="shared" si="4"/>
        <v>0</v>
      </c>
      <c r="K37" s="151">
        <f t="shared" si="4"/>
        <v>3</v>
      </c>
      <c r="L37" s="151">
        <f t="shared" si="4"/>
        <v>0</v>
      </c>
      <c r="M37" s="151">
        <f>SUM(M6:M36)</f>
        <v>0</v>
      </c>
      <c r="N37" s="151">
        <f t="shared" si="4"/>
        <v>0</v>
      </c>
      <c r="O37" s="13">
        <f t="shared" ref="O37" si="5">SUM(O6:O36)</f>
        <v>525</v>
      </c>
    </row>
    <row r="38" spans="1:15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3"/>
        <v>0</v>
      </c>
      <c r="E38" s="77">
        <f>E37/$B$39</f>
        <v>0.29411764705882354</v>
      </c>
      <c r="F38" s="77">
        <f>F37/$B$39</f>
        <v>0.29411764705882354</v>
      </c>
      <c r="G38" s="95">
        <f t="shared" si="1"/>
        <v>1</v>
      </c>
      <c r="H38" s="96">
        <f>H37/B39</f>
        <v>0.35294117647058826</v>
      </c>
      <c r="I38" s="56">
        <f>I37/B39</f>
        <v>0.17647058823529413</v>
      </c>
      <c r="J38" s="56">
        <f>J37/B39</f>
        <v>0</v>
      </c>
      <c r="K38" s="56">
        <f>K37/B39</f>
        <v>0.17647058823529413</v>
      </c>
      <c r="L38" s="56">
        <f>L37/B39</f>
        <v>0</v>
      </c>
      <c r="M38" s="56">
        <f>M37/B39</f>
        <v>0</v>
      </c>
      <c r="N38" s="56">
        <f>N37/B39</f>
        <v>0</v>
      </c>
      <c r="O38" s="106">
        <f>O37/B39</f>
        <v>30.882352941176471</v>
      </c>
    </row>
    <row r="39" spans="1:15" x14ac:dyDescent="0.25">
      <c r="A39" s="107" t="s">
        <v>53</v>
      </c>
      <c r="B39" s="80">
        <f>Stats!B39</f>
        <v>17</v>
      </c>
      <c r="C39" s="80"/>
      <c r="D39" s="81"/>
      <c r="E39" s="80"/>
      <c r="F39" s="80"/>
      <c r="G39" s="98"/>
      <c r="H39" s="82"/>
      <c r="O39" s="106"/>
    </row>
    <row r="40" spans="1:15" x14ac:dyDescent="0.25">
      <c r="A40" s="34"/>
      <c r="B40" s="80"/>
      <c r="C40" s="80"/>
      <c r="D40" s="81"/>
      <c r="E40" s="80"/>
      <c r="F40" s="80"/>
      <c r="G40" s="98"/>
      <c r="H40" s="82"/>
      <c r="O40" s="106"/>
    </row>
    <row r="41" spans="1:15" x14ac:dyDescent="0.25">
      <c r="A41" s="34"/>
      <c r="B41" s="80"/>
      <c r="C41" s="80"/>
      <c r="D41" s="81"/>
      <c r="E41" s="80"/>
      <c r="F41" s="80"/>
      <c r="G41" s="98"/>
      <c r="H41" s="82"/>
      <c r="O41" s="106"/>
    </row>
    <row r="42" spans="1:15" x14ac:dyDescent="0.25">
      <c r="A42" s="9"/>
      <c r="B42" s="2"/>
      <c r="C42" s="2"/>
      <c r="D42" s="3"/>
      <c r="E42" s="2"/>
      <c r="F42" s="2"/>
      <c r="G42" s="16"/>
      <c r="H42" s="15"/>
    </row>
    <row r="43" spans="1:15" x14ac:dyDescent="0.25">
      <c r="A43" s="9"/>
      <c r="B43" s="2"/>
      <c r="C43" s="2"/>
      <c r="D43" s="3"/>
      <c r="E43" s="2"/>
      <c r="F43" s="2"/>
      <c r="G43" s="16"/>
      <c r="H43" s="15"/>
    </row>
    <row r="44" spans="1:15" x14ac:dyDescent="0.25">
      <c r="A44" s="9"/>
      <c r="B44" s="2"/>
      <c r="C44" s="2"/>
      <c r="D44" s="3"/>
      <c r="E44" s="2"/>
      <c r="F44" s="2"/>
      <c r="G44" s="16"/>
      <c r="H44" s="15"/>
    </row>
    <row r="45" spans="1:15" x14ac:dyDescent="0.25">
      <c r="A45" s="9"/>
      <c r="B45" s="2"/>
      <c r="C45" s="2"/>
      <c r="D45" s="3"/>
      <c r="E45" s="2"/>
      <c r="F45" s="2"/>
      <c r="G45" s="16"/>
      <c r="H45" s="15"/>
    </row>
    <row r="46" spans="1:15" x14ac:dyDescent="0.25">
      <c r="A46" s="9"/>
      <c r="B46" s="2" t="s">
        <v>29</v>
      </c>
      <c r="C46" s="2"/>
      <c r="D46" s="3"/>
      <c r="E46" s="2"/>
      <c r="F46" s="2"/>
      <c r="G46" s="16"/>
      <c r="H46" s="15"/>
    </row>
  </sheetData>
  <dataValidations count="4">
    <dataValidation allowBlank="1" showInputMessage="1" showErrorMessage="1" prompt="Actual Day 1" sqref="C4" xr:uid="{1988B253-E3CA-4E8D-8FC7-622848016A2F}"/>
    <dataValidation allowBlank="1" showInputMessage="1" showErrorMessage="1" prompt="Scheduled Day 1" sqref="B4" xr:uid="{DAAF3437-32B2-400B-9293-D02203F0D667}"/>
    <dataValidation type="list" allowBlank="1" showInputMessage="1" showErrorMessage="1" sqref="G2:H2" xr:uid="{642943AA-B031-42ED-A871-FE01F8CB46B5}">
      <formula1>#REF!</formula1>
    </dataValidation>
    <dataValidation type="list" allowBlank="1" showInputMessage="1" showErrorMessage="1" sqref="H6:H36" xr:uid="{0EBAD31E-C388-4B57-A9F3-89944F2C05B7}">
      <formula1>"0,1,2,3"</formula1>
    </dataValidation>
  </dataValidations>
  <hyperlinks>
    <hyperlink ref="D4" location="Stats!D4" tooltip="Scheduled to Actual Day 1 % rate" display="Sch/Act" xr:uid="{332DD93B-98EB-4671-B3F9-8B3A2B57934D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9A14-19D9-4FEC-A6CE-5071FBDD9A6E}">
  <dimension ref="A1:K46"/>
  <sheetViews>
    <sheetView topLeftCell="A19" zoomScale="80" zoomScaleNormal="80" workbookViewId="0">
      <selection activeCell="H36" sqref="H36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0.7109375" style="17" customWidth="1"/>
    <col min="11" max="11" width="12.42578125" style="14" customWidth="1"/>
  </cols>
  <sheetData>
    <row r="1" spans="1:11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1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1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43"/>
    </row>
    <row r="4" spans="1:11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96</v>
      </c>
      <c r="K4" s="43"/>
    </row>
    <row r="5" spans="1:11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97</v>
      </c>
      <c r="K5" s="43" t="s">
        <v>70</v>
      </c>
    </row>
    <row r="6" spans="1:11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105"/>
    </row>
    <row r="7" spans="1:11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2</v>
      </c>
      <c r="H7" s="88">
        <v>1</v>
      </c>
      <c r="I7" s="89">
        <f t="shared" ref="I7:I38" si="2">IFERROR((H7/G7),0)</f>
        <v>0.5</v>
      </c>
      <c r="J7" s="19">
        <v>0</v>
      </c>
      <c r="K7" s="105">
        <v>0</v>
      </c>
    </row>
    <row r="8" spans="1:11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105"/>
    </row>
    <row r="9" spans="1:11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105"/>
    </row>
    <row r="10" spans="1:11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105"/>
    </row>
    <row r="11" spans="1:11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2</v>
      </c>
      <c r="H11" s="88">
        <v>2</v>
      </c>
      <c r="I11" s="89">
        <f t="shared" si="2"/>
        <v>1</v>
      </c>
      <c r="J11" s="19">
        <v>0</v>
      </c>
      <c r="K11" s="105">
        <v>0</v>
      </c>
    </row>
    <row r="12" spans="1:11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0</v>
      </c>
      <c r="H12" s="88">
        <v>0</v>
      </c>
      <c r="I12" s="89">
        <f t="shared" si="2"/>
        <v>0</v>
      </c>
      <c r="J12" s="19">
        <v>0</v>
      </c>
      <c r="K12" s="105">
        <v>0</v>
      </c>
    </row>
    <row r="13" spans="1:11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2</v>
      </c>
      <c r="H13" s="88">
        <v>2</v>
      </c>
      <c r="I13" s="89">
        <f t="shared" si="2"/>
        <v>1</v>
      </c>
      <c r="J13" s="19">
        <v>0</v>
      </c>
      <c r="K13" s="105">
        <v>0</v>
      </c>
    </row>
    <row r="14" spans="1:11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2</v>
      </c>
      <c r="H14" s="88">
        <v>2</v>
      </c>
      <c r="I14" s="89">
        <f t="shared" si="2"/>
        <v>1</v>
      </c>
      <c r="J14" s="19">
        <v>0</v>
      </c>
      <c r="K14" s="105">
        <v>0</v>
      </c>
    </row>
    <row r="15" spans="1:11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105"/>
    </row>
    <row r="16" spans="1:11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105"/>
    </row>
    <row r="17" spans="1:11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105"/>
    </row>
    <row r="18" spans="1:11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2</v>
      </c>
      <c r="H18" s="88">
        <v>3</v>
      </c>
      <c r="I18" s="89">
        <f t="shared" si="2"/>
        <v>1.5</v>
      </c>
      <c r="J18" s="19">
        <v>0</v>
      </c>
      <c r="K18" s="105">
        <v>0</v>
      </c>
    </row>
    <row r="19" spans="1:11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22">
        <v>0</v>
      </c>
      <c r="F19" s="40" t="e">
        <f t="shared" si="1"/>
        <v>#DIV/0!</v>
      </c>
      <c r="G19" s="88">
        <v>1</v>
      </c>
      <c r="H19" s="88">
        <v>1</v>
      </c>
      <c r="I19" s="89">
        <f t="shared" si="2"/>
        <v>1</v>
      </c>
      <c r="J19" s="19">
        <v>0</v>
      </c>
      <c r="K19" s="105">
        <v>0</v>
      </c>
    </row>
    <row r="20" spans="1:11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2</v>
      </c>
      <c r="H20" s="88">
        <v>1</v>
      </c>
      <c r="I20" s="89">
        <f t="shared" si="2"/>
        <v>0.5</v>
      </c>
      <c r="J20" s="19">
        <v>0</v>
      </c>
      <c r="K20" s="105">
        <v>0</v>
      </c>
    </row>
    <row r="21" spans="1:11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1</v>
      </c>
      <c r="H21" s="88">
        <v>0</v>
      </c>
      <c r="I21" s="89">
        <f t="shared" si="2"/>
        <v>0</v>
      </c>
      <c r="J21" s="19">
        <v>0</v>
      </c>
      <c r="K21" s="105">
        <v>0</v>
      </c>
    </row>
    <row r="22" spans="1:11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105"/>
    </row>
    <row r="23" spans="1:11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105"/>
    </row>
    <row r="24" spans="1:11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105">
        <v>599</v>
      </c>
    </row>
    <row r="25" spans="1:11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2</v>
      </c>
      <c r="H25" s="88">
        <v>1</v>
      </c>
      <c r="I25" s="89">
        <f t="shared" si="2"/>
        <v>0.5</v>
      </c>
      <c r="J25" s="19">
        <v>0</v>
      </c>
      <c r="K25" s="105">
        <v>0</v>
      </c>
    </row>
    <row r="26" spans="1:11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1</v>
      </c>
      <c r="H26" s="88">
        <v>1</v>
      </c>
      <c r="I26" s="89">
        <f t="shared" si="2"/>
        <v>1</v>
      </c>
      <c r="J26" s="19">
        <v>0</v>
      </c>
      <c r="K26" s="105">
        <v>0</v>
      </c>
    </row>
    <row r="27" spans="1:11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0</v>
      </c>
      <c r="H27" s="88">
        <v>0</v>
      </c>
      <c r="I27" s="89">
        <f t="shared" si="2"/>
        <v>0</v>
      </c>
      <c r="J27" s="19">
        <v>0</v>
      </c>
      <c r="K27" s="105">
        <v>599</v>
      </c>
    </row>
    <row r="28" spans="1:11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1</v>
      </c>
      <c r="H28" s="88">
        <v>1</v>
      </c>
      <c r="I28" s="89">
        <f t="shared" si="2"/>
        <v>1</v>
      </c>
      <c r="J28" s="19">
        <v>0</v>
      </c>
      <c r="K28" s="105">
        <v>0</v>
      </c>
    </row>
    <row r="29" spans="1:11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105"/>
    </row>
    <row r="30" spans="1:11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105"/>
    </row>
    <row r="31" spans="1:11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105"/>
    </row>
    <row r="32" spans="1:11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1</v>
      </c>
      <c r="H32" s="88">
        <v>1</v>
      </c>
      <c r="I32" s="89">
        <f t="shared" si="2"/>
        <v>1</v>
      </c>
      <c r="J32" s="19">
        <v>0</v>
      </c>
      <c r="K32" s="105">
        <v>0</v>
      </c>
    </row>
    <row r="33" spans="1:11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1</v>
      </c>
      <c r="H33" s="88">
        <v>1</v>
      </c>
      <c r="I33" s="89">
        <f t="shared" si="2"/>
        <v>1</v>
      </c>
      <c r="J33" s="19">
        <v>0</v>
      </c>
      <c r="K33" s="105">
        <v>0</v>
      </c>
    </row>
    <row r="34" spans="1:11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1</v>
      </c>
      <c r="H34" s="88">
        <v>0</v>
      </c>
      <c r="I34" s="89">
        <f t="shared" si="2"/>
        <v>0</v>
      </c>
      <c r="J34" s="19">
        <v>0</v>
      </c>
      <c r="K34" s="105">
        <v>0</v>
      </c>
    </row>
    <row r="35" spans="1:11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22">
        <v>0</v>
      </c>
      <c r="F35" s="40" t="e">
        <f t="shared" si="1"/>
        <v>#DIV/0!</v>
      </c>
      <c r="G35" s="88">
        <v>2</v>
      </c>
      <c r="H35" s="88">
        <v>1</v>
      </c>
      <c r="I35" s="89">
        <f t="shared" si="2"/>
        <v>0.5</v>
      </c>
      <c r="J35" s="19">
        <v>0</v>
      </c>
      <c r="K35" s="105">
        <v>0</v>
      </c>
    </row>
    <row r="36" spans="1:11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105"/>
    </row>
    <row r="37" spans="1:11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3">IFERROR((C37/B37),0)</f>
        <v>0</v>
      </c>
      <c r="E37" s="56">
        <f>SUM(E6:E36)</f>
        <v>0</v>
      </c>
      <c r="F37" s="56"/>
      <c r="G37" s="77">
        <f>SUM(G6:G36)</f>
        <v>23</v>
      </c>
      <c r="H37" s="77">
        <f>SUM(H6:H36)</f>
        <v>18</v>
      </c>
      <c r="I37" s="95">
        <f t="shared" si="2"/>
        <v>0.78260869565217395</v>
      </c>
      <c r="J37" s="96">
        <f>SUM(J6:J36)</f>
        <v>0</v>
      </c>
      <c r="K37" s="13">
        <f t="shared" ref="K37" si="4">SUM(K6:K36)</f>
        <v>1198</v>
      </c>
    </row>
    <row r="38" spans="1:11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3"/>
        <v>0</v>
      </c>
      <c r="E38" s="56">
        <f>E37/B39</f>
        <v>0</v>
      </c>
      <c r="F38" s="56"/>
      <c r="G38" s="77">
        <f>G37/$B$39</f>
        <v>1.3529411764705883</v>
      </c>
      <c r="H38" s="77">
        <f>H37/$B$39</f>
        <v>1.0588235294117647</v>
      </c>
      <c r="I38" s="95">
        <f t="shared" si="2"/>
        <v>0.78260869565217384</v>
      </c>
      <c r="J38" s="96">
        <f>J37/B39</f>
        <v>0</v>
      </c>
      <c r="K38" s="106">
        <f>K37/B39</f>
        <v>70.470588235294116</v>
      </c>
    </row>
    <row r="39" spans="1:11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106"/>
    </row>
    <row r="40" spans="1:11" x14ac:dyDescent="0.25">
      <c r="A40" s="9"/>
      <c r="B40" s="2"/>
      <c r="C40" s="2"/>
      <c r="D40" s="3"/>
      <c r="G40" s="2"/>
      <c r="H40" s="2"/>
      <c r="I40" s="16"/>
      <c r="J40" s="15"/>
    </row>
    <row r="41" spans="1:11" x14ac:dyDescent="0.25">
      <c r="A41" s="9"/>
      <c r="B41" s="2"/>
      <c r="C41" s="2"/>
      <c r="D41" s="3"/>
      <c r="G41" s="2"/>
      <c r="H41" s="2"/>
      <c r="I41" s="16"/>
      <c r="J41" s="15"/>
    </row>
    <row r="42" spans="1:11" x14ac:dyDescent="0.25">
      <c r="A42" s="9"/>
      <c r="B42" s="2"/>
      <c r="C42" s="2"/>
      <c r="D42" s="3"/>
      <c r="G42" s="2"/>
      <c r="H42" s="2"/>
      <c r="I42" s="16"/>
      <c r="J42" s="15"/>
    </row>
    <row r="43" spans="1:11" x14ac:dyDescent="0.25">
      <c r="A43" s="9"/>
      <c r="B43" s="2"/>
      <c r="C43" s="2"/>
      <c r="D43" s="3"/>
      <c r="G43" s="2"/>
      <c r="H43" s="2"/>
      <c r="I43" s="16"/>
      <c r="J43" s="15"/>
    </row>
    <row r="44" spans="1:11" x14ac:dyDescent="0.25">
      <c r="A44" s="9"/>
      <c r="B44" s="2"/>
      <c r="C44" s="2"/>
      <c r="D44" s="3"/>
      <c r="G44" s="2"/>
      <c r="H44" s="2"/>
      <c r="I44" s="16"/>
      <c r="J44" s="15"/>
    </row>
    <row r="45" spans="1:11" x14ac:dyDescent="0.25">
      <c r="A45" s="9"/>
      <c r="B45" s="2"/>
      <c r="C45" s="2"/>
      <c r="D45" s="3"/>
      <c r="G45" s="2"/>
      <c r="H45" s="2"/>
      <c r="I45" s="16"/>
      <c r="J45" s="15"/>
    </row>
    <row r="46" spans="1:11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allowBlank="1" showInputMessage="1" showErrorMessage="1" prompt="Actual Day 1" sqref="C4" xr:uid="{4431B687-DC68-4DD5-AE9D-A963AD2C3F41}"/>
    <dataValidation allowBlank="1" showInputMessage="1" showErrorMessage="1" prompt="Scheduled Day 1" sqref="B4" xr:uid="{95DE58F6-5523-4C12-AEF0-6B9804623F3A}"/>
    <dataValidation type="list" allowBlank="1" showInputMessage="1" showErrorMessage="1" sqref="I2:J2" xr:uid="{52DDF077-FF9F-4719-918E-FC9EF31948F3}">
      <formula1>#REF!</formula1>
    </dataValidation>
  </dataValidations>
  <hyperlinks>
    <hyperlink ref="D4" location="Stats!D4" tooltip="Scheduled to Actual Day 1 % rate" display="Sch/Act" xr:uid="{E394410B-0270-4149-893B-B69D8C68246A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35CE-A23B-4905-9CA5-A60D96B33A3C}">
  <dimension ref="A1:K46"/>
  <sheetViews>
    <sheetView topLeftCell="A4" zoomScale="80" zoomScaleNormal="80" workbookViewId="0">
      <selection activeCell="B36" sqref="B36:K36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0.7109375" style="17" customWidth="1"/>
    <col min="11" max="11" width="12.42578125" style="14" customWidth="1"/>
  </cols>
  <sheetData>
    <row r="1" spans="1:11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1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1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43"/>
    </row>
    <row r="4" spans="1:11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96</v>
      </c>
      <c r="K4" s="43"/>
    </row>
    <row r="5" spans="1:11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97</v>
      </c>
      <c r="K5" s="43" t="s">
        <v>70</v>
      </c>
    </row>
    <row r="6" spans="1:11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105"/>
    </row>
    <row r="7" spans="1:11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0</v>
      </c>
      <c r="H7" s="88">
        <v>0</v>
      </c>
      <c r="I7" s="89">
        <f t="shared" ref="I7:I38" si="2">IFERROR((H7/G7),0)</f>
        <v>0</v>
      </c>
      <c r="J7" s="19">
        <v>0</v>
      </c>
      <c r="K7" s="105">
        <v>0</v>
      </c>
    </row>
    <row r="8" spans="1:11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105"/>
    </row>
    <row r="9" spans="1:11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105"/>
    </row>
    <row r="10" spans="1:11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105"/>
    </row>
    <row r="11" spans="1:11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0</v>
      </c>
      <c r="H11" s="88">
        <v>0</v>
      </c>
      <c r="I11" s="89">
        <f t="shared" si="2"/>
        <v>0</v>
      </c>
      <c r="J11" s="19">
        <v>0</v>
      </c>
      <c r="K11" s="105">
        <v>0</v>
      </c>
    </row>
    <row r="12" spans="1:11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0</v>
      </c>
      <c r="H12" s="88">
        <v>0</v>
      </c>
      <c r="I12" s="89">
        <f t="shared" si="2"/>
        <v>0</v>
      </c>
      <c r="J12" s="19">
        <v>0</v>
      </c>
      <c r="K12" s="105">
        <v>0</v>
      </c>
    </row>
    <row r="13" spans="1:11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0</v>
      </c>
      <c r="H13" s="88">
        <v>0</v>
      </c>
      <c r="I13" s="89">
        <f t="shared" si="2"/>
        <v>0</v>
      </c>
      <c r="J13" s="19">
        <v>0</v>
      </c>
      <c r="K13" s="105">
        <v>0</v>
      </c>
    </row>
    <row r="14" spans="1:11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0</v>
      </c>
      <c r="H14" s="88">
        <v>0</v>
      </c>
      <c r="I14" s="89">
        <f t="shared" si="2"/>
        <v>0</v>
      </c>
      <c r="J14" s="19">
        <v>0</v>
      </c>
      <c r="K14" s="105">
        <v>0</v>
      </c>
    </row>
    <row r="15" spans="1:11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105"/>
    </row>
    <row r="16" spans="1:11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105"/>
    </row>
    <row r="17" spans="1:11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105"/>
    </row>
    <row r="18" spans="1:11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0</v>
      </c>
      <c r="H18" s="88">
        <v>0</v>
      </c>
      <c r="I18" s="89">
        <f t="shared" si="2"/>
        <v>0</v>
      </c>
      <c r="J18" s="19">
        <v>0</v>
      </c>
      <c r="K18" s="105">
        <v>0</v>
      </c>
    </row>
    <row r="19" spans="1:11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22">
        <v>0</v>
      </c>
      <c r="F19" s="40" t="e">
        <f t="shared" si="1"/>
        <v>#DIV/0!</v>
      </c>
      <c r="G19" s="88">
        <v>0</v>
      </c>
      <c r="H19" s="88">
        <v>0</v>
      </c>
      <c r="I19" s="89">
        <f t="shared" si="2"/>
        <v>0</v>
      </c>
      <c r="J19" s="19">
        <v>0</v>
      </c>
      <c r="K19" s="105">
        <v>0</v>
      </c>
    </row>
    <row r="20" spans="1:11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0</v>
      </c>
      <c r="H20" s="88">
        <v>0</v>
      </c>
      <c r="I20" s="89">
        <f t="shared" si="2"/>
        <v>0</v>
      </c>
      <c r="J20" s="19">
        <v>0</v>
      </c>
      <c r="K20" s="105">
        <v>0</v>
      </c>
    </row>
    <row r="21" spans="1:11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0</v>
      </c>
      <c r="H21" s="88">
        <v>0</v>
      </c>
      <c r="I21" s="89">
        <f t="shared" si="2"/>
        <v>0</v>
      </c>
      <c r="J21" s="19">
        <v>0</v>
      </c>
      <c r="K21" s="105">
        <v>0</v>
      </c>
    </row>
    <row r="22" spans="1:11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105"/>
    </row>
    <row r="23" spans="1:11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105"/>
    </row>
    <row r="24" spans="1:11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105"/>
    </row>
    <row r="25" spans="1:11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0</v>
      </c>
      <c r="H25" s="88">
        <v>0</v>
      </c>
      <c r="I25" s="89">
        <f t="shared" si="2"/>
        <v>0</v>
      </c>
      <c r="J25" s="19">
        <v>0</v>
      </c>
      <c r="K25" s="105">
        <v>0</v>
      </c>
    </row>
    <row r="26" spans="1:11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0</v>
      </c>
      <c r="H26" s="88">
        <v>0</v>
      </c>
      <c r="I26" s="89">
        <f t="shared" si="2"/>
        <v>0</v>
      </c>
      <c r="J26" s="19">
        <v>0</v>
      </c>
      <c r="K26" s="105">
        <v>0</v>
      </c>
    </row>
    <row r="27" spans="1:11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0</v>
      </c>
      <c r="H27" s="88">
        <v>0</v>
      </c>
      <c r="I27" s="89">
        <f t="shared" si="2"/>
        <v>0</v>
      </c>
      <c r="J27" s="19">
        <v>0</v>
      </c>
      <c r="K27" s="105">
        <v>0</v>
      </c>
    </row>
    <row r="28" spans="1:11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0</v>
      </c>
      <c r="H28" s="88">
        <v>0</v>
      </c>
      <c r="I28" s="89">
        <f t="shared" si="2"/>
        <v>0</v>
      </c>
      <c r="J28" s="19">
        <v>0</v>
      </c>
      <c r="K28" s="105">
        <v>0</v>
      </c>
    </row>
    <row r="29" spans="1:11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105"/>
    </row>
    <row r="30" spans="1:11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105"/>
    </row>
    <row r="31" spans="1:11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105"/>
    </row>
    <row r="32" spans="1:11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0</v>
      </c>
      <c r="H32" s="88">
        <v>0</v>
      </c>
      <c r="I32" s="89">
        <f t="shared" si="2"/>
        <v>0</v>
      </c>
      <c r="J32" s="19">
        <v>0</v>
      </c>
      <c r="K32" s="105">
        <v>0</v>
      </c>
    </row>
    <row r="33" spans="1:11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0</v>
      </c>
      <c r="H33" s="88">
        <v>0</v>
      </c>
      <c r="I33" s="89">
        <f t="shared" si="2"/>
        <v>0</v>
      </c>
      <c r="J33" s="19">
        <v>0</v>
      </c>
      <c r="K33" s="105">
        <v>0</v>
      </c>
    </row>
    <row r="34" spans="1:11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0</v>
      </c>
      <c r="H34" s="88">
        <v>0</v>
      </c>
      <c r="I34" s="89">
        <f t="shared" si="2"/>
        <v>0</v>
      </c>
      <c r="J34" s="19">
        <v>0</v>
      </c>
      <c r="K34" s="105">
        <v>0</v>
      </c>
    </row>
    <row r="35" spans="1:11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22">
        <v>0</v>
      </c>
      <c r="F35" s="40" t="e">
        <f t="shared" si="1"/>
        <v>#DIV/0!</v>
      </c>
      <c r="G35" s="88">
        <v>0</v>
      </c>
      <c r="H35" s="88">
        <v>0</v>
      </c>
      <c r="I35" s="89">
        <f t="shared" si="2"/>
        <v>0</v>
      </c>
      <c r="J35" s="19">
        <v>0</v>
      </c>
      <c r="K35" s="105">
        <v>0</v>
      </c>
    </row>
    <row r="36" spans="1:11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105"/>
    </row>
    <row r="37" spans="1:11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3">IFERROR((C37/B37),0)</f>
        <v>0</v>
      </c>
      <c r="E37" s="56">
        <f>SUM(E6:E36)</f>
        <v>0</v>
      </c>
      <c r="F37" s="56"/>
      <c r="G37" s="77">
        <f>SUM(G6:G36)</f>
        <v>0</v>
      </c>
      <c r="H37" s="77">
        <f>SUM(H6:H36)</f>
        <v>0</v>
      </c>
      <c r="I37" s="95">
        <f t="shared" si="2"/>
        <v>0</v>
      </c>
      <c r="J37" s="96">
        <f>SUM(J6:J36)</f>
        <v>0</v>
      </c>
      <c r="K37" s="13">
        <f t="shared" ref="K37" si="4">SUM(K6:K36)</f>
        <v>0</v>
      </c>
    </row>
    <row r="38" spans="1:11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3"/>
        <v>0</v>
      </c>
      <c r="E38" s="56">
        <f>E37/B39</f>
        <v>0</v>
      </c>
      <c r="F38" s="56"/>
      <c r="G38" s="77">
        <f>G37/$B$39</f>
        <v>0</v>
      </c>
      <c r="H38" s="77">
        <f>H37/$B$39</f>
        <v>0</v>
      </c>
      <c r="I38" s="95">
        <f t="shared" si="2"/>
        <v>0</v>
      </c>
      <c r="J38" s="96">
        <f>J37/B39</f>
        <v>0</v>
      </c>
      <c r="K38" s="106">
        <f>K37/B39</f>
        <v>0</v>
      </c>
    </row>
    <row r="39" spans="1:11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106"/>
    </row>
    <row r="40" spans="1:11" x14ac:dyDescent="0.25">
      <c r="A40" s="9"/>
      <c r="B40" s="2"/>
      <c r="C40" s="2"/>
      <c r="D40" s="3"/>
      <c r="G40" s="2"/>
      <c r="H40" s="2"/>
      <c r="I40" s="16"/>
      <c r="J40" s="15"/>
    </row>
    <row r="41" spans="1:11" x14ac:dyDescent="0.25">
      <c r="A41" s="9"/>
      <c r="B41" s="2"/>
      <c r="C41" s="2"/>
      <c r="D41" s="3"/>
      <c r="G41" s="2"/>
      <c r="H41" s="2"/>
      <c r="I41" s="16"/>
      <c r="J41" s="15"/>
    </row>
    <row r="42" spans="1:11" x14ac:dyDescent="0.25">
      <c r="A42" s="9"/>
      <c r="B42" s="2"/>
      <c r="C42" s="2"/>
      <c r="D42" s="3"/>
      <c r="G42" s="2"/>
      <c r="H42" s="2"/>
      <c r="I42" s="16"/>
      <c r="J42" s="15"/>
    </row>
    <row r="43" spans="1:11" x14ac:dyDescent="0.25">
      <c r="A43" s="9"/>
      <c r="B43" s="2"/>
      <c r="C43" s="2"/>
      <c r="D43" s="3"/>
      <c r="G43" s="2"/>
      <c r="H43" s="2"/>
      <c r="I43" s="16"/>
      <c r="J43" s="15"/>
    </row>
    <row r="44" spans="1:11" x14ac:dyDescent="0.25">
      <c r="A44" s="9"/>
      <c r="B44" s="2"/>
      <c r="C44" s="2"/>
      <c r="D44" s="3"/>
      <c r="G44" s="2"/>
      <c r="H44" s="2"/>
      <c r="I44" s="16"/>
      <c r="J44" s="15"/>
    </row>
    <row r="45" spans="1:11" x14ac:dyDescent="0.25">
      <c r="A45" s="9"/>
      <c r="B45" s="2"/>
      <c r="C45" s="2"/>
      <c r="D45" s="3"/>
      <c r="G45" s="2"/>
      <c r="H45" s="2"/>
      <c r="I45" s="16"/>
      <c r="J45" s="15"/>
    </row>
    <row r="46" spans="1:11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allowBlank="1" showInputMessage="1" showErrorMessage="1" prompt="Actual Day 1" sqref="C4" xr:uid="{D32A580F-F31B-46F9-ACC3-48274CB77A0D}"/>
    <dataValidation allowBlank="1" showInputMessage="1" showErrorMessage="1" prompt="Scheduled Day 1" sqref="B4" xr:uid="{9C4265A3-FE68-4651-96DB-9E0774EE9639}"/>
    <dataValidation type="list" allowBlank="1" showInputMessage="1" showErrorMessage="1" sqref="I2:J2" xr:uid="{86CB15FB-5A6B-4F18-B64E-3F741EAB8E4B}">
      <formula1>#REF!</formula1>
    </dataValidation>
  </dataValidations>
  <hyperlinks>
    <hyperlink ref="D4" location="Stats!D4" tooltip="Scheduled to Actual Day 1 % rate" display="Sch/Act" xr:uid="{B36C3DC0-0000-4657-AD61-4A7F0691EDF1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D3CE-0991-42CD-BF33-FF477BEEBF81}">
  <dimension ref="A1:K46"/>
  <sheetViews>
    <sheetView topLeftCell="A4" zoomScale="80" zoomScaleNormal="80" workbookViewId="0">
      <selection activeCell="B36" sqref="B36:K36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0.7109375" style="17" customWidth="1"/>
    <col min="11" max="11" width="12.42578125" style="14" customWidth="1"/>
  </cols>
  <sheetData>
    <row r="1" spans="1:11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1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1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43"/>
    </row>
    <row r="4" spans="1:11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96</v>
      </c>
      <c r="K4" s="43"/>
    </row>
    <row r="5" spans="1:11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97</v>
      </c>
      <c r="K5" s="43" t="s">
        <v>70</v>
      </c>
    </row>
    <row r="6" spans="1:11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105"/>
    </row>
    <row r="7" spans="1:11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0</v>
      </c>
      <c r="H7" s="88">
        <v>0</v>
      </c>
      <c r="I7" s="89">
        <f t="shared" ref="I7:I38" si="2">IFERROR((H7/G7),0)</f>
        <v>0</v>
      </c>
      <c r="J7" s="19">
        <v>0</v>
      </c>
      <c r="K7" s="105">
        <v>0</v>
      </c>
    </row>
    <row r="8" spans="1:11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105"/>
    </row>
    <row r="9" spans="1:11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105"/>
    </row>
    <row r="10" spans="1:11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105"/>
    </row>
    <row r="11" spans="1:11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0</v>
      </c>
      <c r="H11" s="88">
        <v>0</v>
      </c>
      <c r="I11" s="89">
        <f t="shared" si="2"/>
        <v>0</v>
      </c>
      <c r="J11" s="19">
        <v>0</v>
      </c>
      <c r="K11" s="105">
        <v>0</v>
      </c>
    </row>
    <row r="12" spans="1:11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0</v>
      </c>
      <c r="H12" s="88">
        <v>0</v>
      </c>
      <c r="I12" s="89">
        <f t="shared" si="2"/>
        <v>0</v>
      </c>
      <c r="J12" s="19">
        <v>0</v>
      </c>
      <c r="K12" s="105">
        <v>0</v>
      </c>
    </row>
    <row r="13" spans="1:11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0</v>
      </c>
      <c r="H13" s="88">
        <v>0</v>
      </c>
      <c r="I13" s="89">
        <f t="shared" si="2"/>
        <v>0</v>
      </c>
      <c r="J13" s="19">
        <v>0</v>
      </c>
      <c r="K13" s="105">
        <v>0</v>
      </c>
    </row>
    <row r="14" spans="1:11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0</v>
      </c>
      <c r="H14" s="88">
        <v>0</v>
      </c>
      <c r="I14" s="89">
        <f t="shared" si="2"/>
        <v>0</v>
      </c>
      <c r="J14" s="19">
        <v>0</v>
      </c>
      <c r="K14" s="105">
        <v>0</v>
      </c>
    </row>
    <row r="15" spans="1:11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105"/>
    </row>
    <row r="16" spans="1:11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105"/>
    </row>
    <row r="17" spans="1:11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105"/>
    </row>
    <row r="18" spans="1:11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0</v>
      </c>
      <c r="H18" s="88">
        <v>0</v>
      </c>
      <c r="I18" s="89">
        <f t="shared" si="2"/>
        <v>0</v>
      </c>
      <c r="J18" s="19">
        <v>0</v>
      </c>
      <c r="K18" s="105">
        <v>0</v>
      </c>
    </row>
    <row r="19" spans="1:11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22">
        <v>0</v>
      </c>
      <c r="F19" s="40" t="e">
        <f t="shared" si="1"/>
        <v>#DIV/0!</v>
      </c>
      <c r="G19" s="88">
        <v>0</v>
      </c>
      <c r="H19" s="88">
        <v>0</v>
      </c>
      <c r="I19" s="89">
        <f t="shared" si="2"/>
        <v>0</v>
      </c>
      <c r="J19" s="19">
        <v>0</v>
      </c>
      <c r="K19" s="105">
        <v>0</v>
      </c>
    </row>
    <row r="20" spans="1:11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0</v>
      </c>
      <c r="H20" s="88">
        <v>0</v>
      </c>
      <c r="I20" s="89">
        <f t="shared" si="2"/>
        <v>0</v>
      </c>
      <c r="J20" s="19">
        <v>0</v>
      </c>
      <c r="K20" s="105">
        <v>0</v>
      </c>
    </row>
    <row r="21" spans="1:11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0</v>
      </c>
      <c r="H21" s="88">
        <v>0</v>
      </c>
      <c r="I21" s="89">
        <f t="shared" si="2"/>
        <v>0</v>
      </c>
      <c r="J21" s="19">
        <v>0</v>
      </c>
      <c r="K21" s="105">
        <v>0</v>
      </c>
    </row>
    <row r="22" spans="1:11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105"/>
    </row>
    <row r="23" spans="1:11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105"/>
    </row>
    <row r="24" spans="1:11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105"/>
    </row>
    <row r="25" spans="1:11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0</v>
      </c>
      <c r="H25" s="88">
        <v>0</v>
      </c>
      <c r="I25" s="89">
        <f t="shared" si="2"/>
        <v>0</v>
      </c>
      <c r="J25" s="19">
        <v>0</v>
      </c>
      <c r="K25" s="105">
        <v>0</v>
      </c>
    </row>
    <row r="26" spans="1:11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0</v>
      </c>
      <c r="H26" s="88">
        <v>0</v>
      </c>
      <c r="I26" s="89">
        <f t="shared" si="2"/>
        <v>0</v>
      </c>
      <c r="J26" s="19">
        <v>0</v>
      </c>
      <c r="K26" s="105">
        <v>0</v>
      </c>
    </row>
    <row r="27" spans="1:11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0</v>
      </c>
      <c r="H27" s="88">
        <v>0</v>
      </c>
      <c r="I27" s="89">
        <f t="shared" si="2"/>
        <v>0</v>
      </c>
      <c r="J27" s="19">
        <v>0</v>
      </c>
      <c r="K27" s="105">
        <v>0</v>
      </c>
    </row>
    <row r="28" spans="1:11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0</v>
      </c>
      <c r="H28" s="88">
        <v>0</v>
      </c>
      <c r="I28" s="89">
        <f t="shared" si="2"/>
        <v>0</v>
      </c>
      <c r="J28" s="19">
        <v>0</v>
      </c>
      <c r="K28" s="105">
        <v>0</v>
      </c>
    </row>
    <row r="29" spans="1:11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105"/>
    </row>
    <row r="30" spans="1:11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105"/>
    </row>
    <row r="31" spans="1:11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105"/>
    </row>
    <row r="32" spans="1:11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0</v>
      </c>
      <c r="H32" s="88">
        <v>0</v>
      </c>
      <c r="I32" s="89">
        <f t="shared" si="2"/>
        <v>0</v>
      </c>
      <c r="J32" s="19">
        <v>0</v>
      </c>
      <c r="K32" s="105">
        <v>0</v>
      </c>
    </row>
    <row r="33" spans="1:11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0</v>
      </c>
      <c r="H33" s="88">
        <v>0</v>
      </c>
      <c r="I33" s="89">
        <f t="shared" si="2"/>
        <v>0</v>
      </c>
      <c r="J33" s="19">
        <v>0</v>
      </c>
      <c r="K33" s="105">
        <v>0</v>
      </c>
    </row>
    <row r="34" spans="1:11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0</v>
      </c>
      <c r="H34" s="88">
        <v>0</v>
      </c>
      <c r="I34" s="89">
        <f t="shared" si="2"/>
        <v>0</v>
      </c>
      <c r="J34" s="19">
        <v>0</v>
      </c>
      <c r="K34" s="105">
        <v>0</v>
      </c>
    </row>
    <row r="35" spans="1:11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22">
        <v>0</v>
      </c>
      <c r="F35" s="40" t="e">
        <f t="shared" si="1"/>
        <v>#DIV/0!</v>
      </c>
      <c r="G35" s="88">
        <v>0</v>
      </c>
      <c r="H35" s="88">
        <v>0</v>
      </c>
      <c r="I35" s="89">
        <f t="shared" si="2"/>
        <v>0</v>
      </c>
      <c r="J35" s="19">
        <v>0</v>
      </c>
      <c r="K35" s="105">
        <v>0</v>
      </c>
    </row>
    <row r="36" spans="1:11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105"/>
    </row>
    <row r="37" spans="1:11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3">IFERROR((C37/B37),0)</f>
        <v>0</v>
      </c>
      <c r="E37" s="56">
        <f>SUM(E6:E36)</f>
        <v>0</v>
      </c>
      <c r="F37" s="56"/>
      <c r="G37" s="77">
        <f>SUM(G6:G36)</f>
        <v>0</v>
      </c>
      <c r="H37" s="77">
        <f>SUM(H6:H36)</f>
        <v>0</v>
      </c>
      <c r="I37" s="95">
        <f t="shared" si="2"/>
        <v>0</v>
      </c>
      <c r="J37" s="96">
        <f>SUM(J6:J36)</f>
        <v>0</v>
      </c>
      <c r="K37" s="13">
        <f t="shared" ref="K37" si="4">SUM(K6:K36)</f>
        <v>0</v>
      </c>
    </row>
    <row r="38" spans="1:11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3"/>
        <v>0</v>
      </c>
      <c r="E38" s="56">
        <f>E37/B39</f>
        <v>0</v>
      </c>
      <c r="F38" s="56"/>
      <c r="G38" s="77">
        <f>G37/$B$39</f>
        <v>0</v>
      </c>
      <c r="H38" s="77">
        <f>H37/$B$39</f>
        <v>0</v>
      </c>
      <c r="I38" s="95">
        <f t="shared" si="2"/>
        <v>0</v>
      </c>
      <c r="J38" s="96">
        <f>J37/B39</f>
        <v>0</v>
      </c>
      <c r="K38" s="106">
        <f>K37/B39</f>
        <v>0</v>
      </c>
    </row>
    <row r="39" spans="1:11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106"/>
    </row>
    <row r="40" spans="1:11" x14ac:dyDescent="0.25">
      <c r="A40" s="34"/>
      <c r="B40" s="80"/>
      <c r="C40" s="80"/>
      <c r="D40" s="81"/>
      <c r="E40" s="56"/>
      <c r="F40" s="56"/>
      <c r="G40" s="80"/>
      <c r="H40" s="80"/>
      <c r="I40" s="98"/>
      <c r="J40" s="82"/>
      <c r="K40" s="106"/>
    </row>
    <row r="41" spans="1:11" x14ac:dyDescent="0.25">
      <c r="A41" s="9"/>
      <c r="B41" s="2"/>
      <c r="C41" s="2"/>
      <c r="D41" s="3"/>
      <c r="G41" s="2"/>
      <c r="H41" s="2"/>
      <c r="I41" s="16"/>
      <c r="J41" s="15"/>
    </row>
    <row r="42" spans="1:11" x14ac:dyDescent="0.25">
      <c r="A42" s="9"/>
      <c r="B42" s="2"/>
      <c r="C42" s="2"/>
      <c r="D42" s="3"/>
      <c r="G42" s="2"/>
      <c r="H42" s="2"/>
      <c r="I42" s="16"/>
      <c r="J42" s="15"/>
    </row>
    <row r="43" spans="1:11" x14ac:dyDescent="0.25">
      <c r="A43" s="9"/>
      <c r="B43" s="2"/>
      <c r="C43" s="2"/>
      <c r="D43" s="3"/>
      <c r="G43" s="2"/>
      <c r="H43" s="2"/>
      <c r="I43" s="16"/>
      <c r="J43" s="15"/>
    </row>
    <row r="44" spans="1:11" x14ac:dyDescent="0.25">
      <c r="A44" s="9"/>
      <c r="B44" s="2"/>
      <c r="C44" s="2"/>
      <c r="D44" s="3"/>
      <c r="G44" s="2"/>
      <c r="H44" s="2"/>
      <c r="I44" s="16"/>
      <c r="J44" s="15"/>
    </row>
    <row r="45" spans="1:11" x14ac:dyDescent="0.25">
      <c r="A45" s="9"/>
      <c r="B45" s="2"/>
      <c r="C45" s="2"/>
      <c r="D45" s="3"/>
      <c r="G45" s="2"/>
      <c r="H45" s="2"/>
      <c r="I45" s="16"/>
      <c r="J45" s="15"/>
    </row>
    <row r="46" spans="1:11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type="list" allowBlank="1" showInputMessage="1" showErrorMessage="1" sqref="I2:J2" xr:uid="{916B2478-8883-43F2-9C18-663374170179}">
      <formula1>#REF!</formula1>
    </dataValidation>
    <dataValidation allowBlank="1" showInputMessage="1" showErrorMessage="1" prompt="Scheduled Day 1" sqref="B4" xr:uid="{85CBB629-CB02-433B-98EC-F8B898F6DD5A}"/>
    <dataValidation allowBlank="1" showInputMessage="1" showErrorMessage="1" prompt="Actual Day 1" sqref="C4" xr:uid="{804F0937-D4DC-46A9-9C10-5C0AB4F0FC2D}"/>
  </dataValidations>
  <hyperlinks>
    <hyperlink ref="D4" location="Stats!D4" tooltip="Scheduled to Actual Day 1 % rate" display="Sch/Act" xr:uid="{8AD20185-FBCD-4236-A7B5-DBEDC4675263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5621-5AE6-4AF1-B23A-74148F4DB60C}">
  <dimension ref="A1:K46"/>
  <sheetViews>
    <sheetView topLeftCell="A7" zoomScale="80" zoomScaleNormal="80" workbookViewId="0">
      <selection activeCell="K33" sqref="K33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0.7109375" style="17" customWidth="1"/>
    <col min="11" max="11" width="12.42578125" style="14" customWidth="1"/>
  </cols>
  <sheetData>
    <row r="1" spans="1:11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1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1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43"/>
    </row>
    <row r="4" spans="1:11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96</v>
      </c>
      <c r="K4" s="43"/>
    </row>
    <row r="5" spans="1:11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97</v>
      </c>
      <c r="K5" s="43" t="s">
        <v>70</v>
      </c>
    </row>
    <row r="6" spans="1:11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105"/>
    </row>
    <row r="7" spans="1:11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2</v>
      </c>
      <c r="H7" s="88">
        <v>2</v>
      </c>
      <c r="I7" s="89">
        <f t="shared" ref="I7:I38" si="2">IFERROR((H7/G7),0)</f>
        <v>1</v>
      </c>
      <c r="J7" s="19">
        <v>0</v>
      </c>
      <c r="K7" s="105">
        <v>0</v>
      </c>
    </row>
    <row r="8" spans="1:11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105"/>
    </row>
    <row r="9" spans="1:11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105"/>
    </row>
    <row r="10" spans="1:11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105"/>
    </row>
    <row r="11" spans="1:11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2</v>
      </c>
      <c r="H11" s="88">
        <v>2</v>
      </c>
      <c r="I11" s="89">
        <f t="shared" si="2"/>
        <v>1</v>
      </c>
      <c r="J11" s="19">
        <v>0</v>
      </c>
      <c r="K11" s="105">
        <v>0</v>
      </c>
    </row>
    <row r="12" spans="1:11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1</v>
      </c>
      <c r="H12" s="88">
        <v>1</v>
      </c>
      <c r="I12" s="89">
        <f t="shared" si="2"/>
        <v>1</v>
      </c>
      <c r="J12" s="19">
        <v>0</v>
      </c>
      <c r="K12" s="105">
        <v>0</v>
      </c>
    </row>
    <row r="13" spans="1:11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1</v>
      </c>
      <c r="H13" s="88">
        <v>1</v>
      </c>
      <c r="I13" s="89">
        <f t="shared" si="2"/>
        <v>1</v>
      </c>
      <c r="J13" s="19">
        <v>0</v>
      </c>
      <c r="K13" s="105">
        <v>0</v>
      </c>
    </row>
    <row r="14" spans="1:11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2</v>
      </c>
      <c r="H14" s="88">
        <v>2</v>
      </c>
      <c r="I14" s="89">
        <f t="shared" si="2"/>
        <v>1</v>
      </c>
      <c r="J14" s="19">
        <v>0</v>
      </c>
      <c r="K14" s="105">
        <v>0</v>
      </c>
    </row>
    <row r="15" spans="1:11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105"/>
    </row>
    <row r="16" spans="1:11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105"/>
    </row>
    <row r="17" spans="1:11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105"/>
    </row>
    <row r="18" spans="1:11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2</v>
      </c>
      <c r="H18" s="88">
        <v>2</v>
      </c>
      <c r="I18" s="89">
        <f t="shared" si="2"/>
        <v>1</v>
      </c>
      <c r="J18" s="19">
        <v>0</v>
      </c>
      <c r="K18" s="105">
        <v>0</v>
      </c>
    </row>
    <row r="19" spans="1:11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22">
        <v>0</v>
      </c>
      <c r="F19" s="40" t="e">
        <f t="shared" si="1"/>
        <v>#DIV/0!</v>
      </c>
      <c r="G19" s="88">
        <v>0</v>
      </c>
      <c r="H19" s="88">
        <v>0</v>
      </c>
      <c r="I19" s="89">
        <f t="shared" si="2"/>
        <v>0</v>
      </c>
      <c r="J19" s="19">
        <v>0</v>
      </c>
      <c r="K19" s="105">
        <v>0</v>
      </c>
    </row>
    <row r="20" spans="1:11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1</v>
      </c>
      <c r="H20" s="88">
        <v>1</v>
      </c>
      <c r="I20" s="89">
        <f t="shared" si="2"/>
        <v>1</v>
      </c>
      <c r="J20" s="19">
        <v>0</v>
      </c>
      <c r="K20" s="105">
        <v>0</v>
      </c>
    </row>
    <row r="21" spans="1:11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2</v>
      </c>
      <c r="H21" s="88">
        <v>3</v>
      </c>
      <c r="I21" s="89">
        <f t="shared" si="2"/>
        <v>1.5</v>
      </c>
      <c r="J21" s="19">
        <v>0</v>
      </c>
      <c r="K21" s="105">
        <v>0</v>
      </c>
    </row>
    <row r="22" spans="1:11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105"/>
    </row>
    <row r="23" spans="1:11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105"/>
    </row>
    <row r="24" spans="1:11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105"/>
    </row>
    <row r="25" spans="1:11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0</v>
      </c>
      <c r="H25" s="88">
        <v>0</v>
      </c>
      <c r="I25" s="89">
        <f t="shared" si="2"/>
        <v>0</v>
      </c>
      <c r="J25" s="19">
        <v>0</v>
      </c>
      <c r="K25" s="105">
        <v>0</v>
      </c>
    </row>
    <row r="26" spans="1:11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1</v>
      </c>
      <c r="H26" s="88">
        <v>1</v>
      </c>
      <c r="I26" s="89">
        <f t="shared" si="2"/>
        <v>1</v>
      </c>
      <c r="J26" s="19">
        <v>0</v>
      </c>
      <c r="K26" s="105">
        <v>0</v>
      </c>
    </row>
    <row r="27" spans="1:11" x14ac:dyDescent="0.25">
      <c r="A27" s="19">
        <v>22</v>
      </c>
      <c r="B27" s="87">
        <v>0</v>
      </c>
      <c r="C27" s="87">
        <v>1</v>
      </c>
      <c r="D27" s="40">
        <f t="shared" si="0"/>
        <v>0</v>
      </c>
      <c r="E27" s="22">
        <v>0</v>
      </c>
      <c r="F27" s="40">
        <f t="shared" si="1"/>
        <v>0</v>
      </c>
      <c r="G27" s="88">
        <v>0</v>
      </c>
      <c r="H27" s="88">
        <v>1</v>
      </c>
      <c r="I27" s="89">
        <f t="shared" si="2"/>
        <v>0</v>
      </c>
      <c r="J27" s="19">
        <v>0</v>
      </c>
      <c r="K27" s="105">
        <v>59</v>
      </c>
    </row>
    <row r="28" spans="1:11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1</v>
      </c>
      <c r="H28" s="88">
        <v>1</v>
      </c>
      <c r="I28" s="89">
        <f t="shared" si="2"/>
        <v>1</v>
      </c>
      <c r="J28" s="19">
        <v>0</v>
      </c>
      <c r="K28" s="105">
        <v>0</v>
      </c>
    </row>
    <row r="29" spans="1:11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105"/>
    </row>
    <row r="30" spans="1:11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105"/>
    </row>
    <row r="31" spans="1:11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105"/>
    </row>
    <row r="32" spans="1:11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1</v>
      </c>
      <c r="H32" s="88">
        <v>1</v>
      </c>
      <c r="I32" s="89">
        <f t="shared" si="2"/>
        <v>1</v>
      </c>
      <c r="J32" s="19">
        <v>0</v>
      </c>
      <c r="K32" s="105">
        <v>75</v>
      </c>
    </row>
    <row r="33" spans="1:11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0</v>
      </c>
      <c r="H33" s="88">
        <v>0</v>
      </c>
      <c r="I33" s="89">
        <f t="shared" si="2"/>
        <v>0</v>
      </c>
      <c r="J33" s="19">
        <v>0</v>
      </c>
      <c r="K33" s="105">
        <v>0</v>
      </c>
    </row>
    <row r="34" spans="1:11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0</v>
      </c>
      <c r="H34" s="88">
        <v>0</v>
      </c>
      <c r="I34" s="89">
        <f t="shared" si="2"/>
        <v>0</v>
      </c>
      <c r="J34" s="19">
        <v>0</v>
      </c>
      <c r="K34" s="105">
        <v>0</v>
      </c>
    </row>
    <row r="35" spans="1:11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22">
        <v>0</v>
      </c>
      <c r="F35" s="40" t="e">
        <f t="shared" si="1"/>
        <v>#DIV/0!</v>
      </c>
      <c r="G35" s="88">
        <v>0</v>
      </c>
      <c r="H35" s="88">
        <v>0</v>
      </c>
      <c r="I35" s="89">
        <f t="shared" si="2"/>
        <v>0</v>
      </c>
      <c r="J35" s="19">
        <v>0</v>
      </c>
      <c r="K35" s="105">
        <v>0</v>
      </c>
    </row>
    <row r="36" spans="1:11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105"/>
    </row>
    <row r="37" spans="1:11" x14ac:dyDescent="0.25">
      <c r="A37" s="107" t="s">
        <v>28</v>
      </c>
      <c r="B37" s="77">
        <f>SUM(B6:B36)</f>
        <v>0</v>
      </c>
      <c r="C37" s="77">
        <f>SUM(C6:C36)</f>
        <v>1</v>
      </c>
      <c r="D37" s="78">
        <f t="shared" ref="D37:D38" si="3">IFERROR((C37/B37),0)</f>
        <v>0</v>
      </c>
      <c r="E37" s="56">
        <f>SUM(E6:E36)</f>
        <v>0</v>
      </c>
      <c r="F37" s="56"/>
      <c r="G37" s="77">
        <f>SUM(G6:G36)</f>
        <v>16</v>
      </c>
      <c r="H37" s="77">
        <f>SUM(H6:H36)</f>
        <v>18</v>
      </c>
      <c r="I37" s="95">
        <f t="shared" si="2"/>
        <v>1.125</v>
      </c>
      <c r="J37" s="96">
        <f>SUM(J6:J36)</f>
        <v>0</v>
      </c>
      <c r="K37" s="13">
        <f t="shared" ref="K37" si="4">SUM(K6:K36)</f>
        <v>134</v>
      </c>
    </row>
    <row r="38" spans="1:11" x14ac:dyDescent="0.25">
      <c r="A38" s="107" t="s">
        <v>52</v>
      </c>
      <c r="B38" s="77">
        <f>B37/$B$39</f>
        <v>0</v>
      </c>
      <c r="C38" s="77">
        <f>C37/$B$39</f>
        <v>5.8823529411764705E-2</v>
      </c>
      <c r="D38" s="78">
        <f t="shared" si="3"/>
        <v>0</v>
      </c>
      <c r="E38" s="56">
        <f>E37/B39</f>
        <v>0</v>
      </c>
      <c r="F38" s="56"/>
      <c r="G38" s="77">
        <f>G37/$B$39</f>
        <v>0.94117647058823528</v>
      </c>
      <c r="H38" s="77">
        <f>H37/$B$39</f>
        <v>1.0588235294117647</v>
      </c>
      <c r="I38" s="95">
        <f t="shared" si="2"/>
        <v>1.125</v>
      </c>
      <c r="J38" s="96">
        <f>J37/B39</f>
        <v>0</v>
      </c>
      <c r="K38" s="106">
        <f>K37/B39</f>
        <v>7.882352941176471</v>
      </c>
    </row>
    <row r="39" spans="1:11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106"/>
    </row>
    <row r="40" spans="1:11" x14ac:dyDescent="0.25">
      <c r="A40" s="9"/>
      <c r="B40" s="2"/>
      <c r="C40" s="2"/>
      <c r="D40" s="3"/>
      <c r="G40" s="2"/>
      <c r="H40" s="2"/>
      <c r="I40" s="16"/>
      <c r="J40" s="15"/>
    </row>
    <row r="41" spans="1:11" x14ac:dyDescent="0.25">
      <c r="A41" s="9"/>
      <c r="B41" s="2"/>
      <c r="C41" s="2"/>
      <c r="D41" s="3"/>
      <c r="G41" s="2"/>
      <c r="H41" s="2"/>
      <c r="I41" s="16"/>
      <c r="J41" s="15"/>
    </row>
    <row r="42" spans="1:11" x14ac:dyDescent="0.25">
      <c r="A42" s="9"/>
      <c r="B42" s="2"/>
      <c r="C42" s="2"/>
      <c r="D42" s="3"/>
      <c r="G42" s="2"/>
      <c r="H42" s="2"/>
      <c r="I42" s="16"/>
      <c r="J42" s="15"/>
    </row>
    <row r="43" spans="1:11" x14ac:dyDescent="0.25">
      <c r="A43" s="9"/>
      <c r="B43" s="2"/>
      <c r="C43" s="2"/>
      <c r="D43" s="3"/>
      <c r="G43" s="2"/>
      <c r="H43" s="2"/>
      <c r="I43" s="16"/>
      <c r="J43" s="15"/>
    </row>
    <row r="44" spans="1:11" x14ac:dyDescent="0.25">
      <c r="A44" s="9"/>
      <c r="B44" s="2"/>
      <c r="C44" s="2"/>
      <c r="D44" s="3"/>
      <c r="G44" s="2"/>
      <c r="H44" s="2"/>
      <c r="I44" s="16"/>
      <c r="J44" s="15"/>
    </row>
    <row r="45" spans="1:11" x14ac:dyDescent="0.25">
      <c r="A45" s="9"/>
      <c r="B45" s="2"/>
      <c r="C45" s="2"/>
      <c r="D45" s="3"/>
      <c r="G45" s="2"/>
      <c r="H45" s="2"/>
      <c r="I45" s="16"/>
      <c r="J45" s="15"/>
    </row>
    <row r="46" spans="1:11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type="list" allowBlank="1" showInputMessage="1" showErrorMessage="1" sqref="I2:J2" xr:uid="{D0634CB8-A475-444C-83F9-BA8FF4D3C887}">
      <formula1>#REF!</formula1>
    </dataValidation>
    <dataValidation allowBlank="1" showInputMessage="1" showErrorMessage="1" prompt="Scheduled Day 1" sqref="B4" xr:uid="{6D5912BA-B207-4F63-954A-913218C4D0F1}"/>
    <dataValidation allowBlank="1" showInputMessage="1" showErrorMessage="1" prompt="Actual Day 1" sqref="C4" xr:uid="{76BDC35F-E5C9-4835-BE78-FD70F67F00C0}"/>
  </dataValidations>
  <hyperlinks>
    <hyperlink ref="D4" location="Stats!D4" tooltip="Scheduled to Actual Day 1 % rate" display="Sch/Act" xr:uid="{9836E446-D997-40D2-86ED-CC7BEEAD2E59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1CFA-69DF-4F0F-8F4A-E21C6A6351DE}">
  <dimension ref="A1:L46"/>
  <sheetViews>
    <sheetView zoomScale="80" zoomScaleNormal="80" workbookViewId="0">
      <selection activeCell="L35" sqref="L35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2.7109375" style="17" bestFit="1" customWidth="1"/>
    <col min="11" max="11" width="12.42578125" style="35" customWidth="1"/>
    <col min="12" max="12" width="8.140625" style="42" customWidth="1"/>
  </cols>
  <sheetData>
    <row r="1" spans="1:12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2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2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55"/>
      <c r="L3" s="43"/>
    </row>
    <row r="4" spans="1:12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72</v>
      </c>
      <c r="K4" s="55" t="s">
        <v>73</v>
      </c>
      <c r="L4" s="43"/>
    </row>
    <row r="5" spans="1:12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73</v>
      </c>
      <c r="K5" s="55" t="s">
        <v>79</v>
      </c>
      <c r="L5" s="43" t="s">
        <v>70</v>
      </c>
    </row>
    <row r="6" spans="1:12" x14ac:dyDescent="0.25">
      <c r="A6" s="19">
        <v>1</v>
      </c>
      <c r="B6" s="87"/>
      <c r="C6" s="87"/>
      <c r="D6" s="40"/>
      <c r="E6" s="22"/>
      <c r="F6" s="40"/>
      <c r="G6" s="88"/>
      <c r="H6" s="88"/>
      <c r="I6" s="89"/>
      <c r="J6" s="19"/>
      <c r="K6" s="90"/>
      <c r="L6" s="94"/>
    </row>
    <row r="7" spans="1:12" x14ac:dyDescent="0.25">
      <c r="A7" s="19">
        <v>2</v>
      </c>
      <c r="B7" s="87">
        <v>0</v>
      </c>
      <c r="C7" s="87">
        <v>0</v>
      </c>
      <c r="D7" s="40">
        <f t="shared" ref="D7:D35" si="0">IFERROR((C7/B7),0)</f>
        <v>0</v>
      </c>
      <c r="E7" s="22">
        <v>0</v>
      </c>
      <c r="F7" s="40" t="e">
        <f t="shared" ref="F7:F35" si="1">E7/C7</f>
        <v>#DIV/0!</v>
      </c>
      <c r="G7" s="88">
        <v>0</v>
      </c>
      <c r="H7" s="88">
        <v>0</v>
      </c>
      <c r="I7" s="89">
        <f t="shared" ref="I7:I38" si="2">IFERROR((H7/G7),0)</f>
        <v>0</v>
      </c>
      <c r="J7" s="19">
        <v>0</v>
      </c>
      <c r="K7" s="90" t="e">
        <f t="shared" ref="K7:K35" si="3">J7/E7</f>
        <v>#DIV/0!</v>
      </c>
      <c r="L7" s="94">
        <v>0</v>
      </c>
    </row>
    <row r="8" spans="1:12" x14ac:dyDescent="0.25">
      <c r="A8" s="19">
        <v>3</v>
      </c>
      <c r="B8" s="87"/>
      <c r="C8" s="87"/>
      <c r="D8" s="40"/>
      <c r="E8" s="22"/>
      <c r="F8" s="40"/>
      <c r="G8" s="88"/>
      <c r="H8" s="88"/>
      <c r="I8" s="89"/>
      <c r="J8" s="19"/>
      <c r="K8" s="90"/>
      <c r="L8" s="94"/>
    </row>
    <row r="9" spans="1:12" x14ac:dyDescent="0.25">
      <c r="A9" s="19">
        <v>4</v>
      </c>
      <c r="B9" s="87"/>
      <c r="C9" s="87"/>
      <c r="D9" s="40"/>
      <c r="E9" s="22"/>
      <c r="F9" s="40"/>
      <c r="G9" s="88"/>
      <c r="H9" s="88"/>
      <c r="I9" s="89"/>
      <c r="J9" s="19"/>
      <c r="K9" s="90"/>
      <c r="L9" s="94"/>
    </row>
    <row r="10" spans="1:12" x14ac:dyDescent="0.25">
      <c r="A10" s="19">
        <v>5</v>
      </c>
      <c r="B10" s="87"/>
      <c r="C10" s="87"/>
      <c r="D10" s="40"/>
      <c r="E10" s="22"/>
      <c r="F10" s="40"/>
      <c r="G10" s="88"/>
      <c r="H10" s="88"/>
      <c r="I10" s="89"/>
      <c r="J10" s="19"/>
      <c r="K10" s="90"/>
      <c r="L10" s="94"/>
    </row>
    <row r="11" spans="1:12" x14ac:dyDescent="0.25">
      <c r="A11" s="19">
        <v>6</v>
      </c>
      <c r="B11" s="87">
        <v>0</v>
      </c>
      <c r="C11" s="87">
        <v>0</v>
      </c>
      <c r="D11" s="40">
        <f t="shared" si="0"/>
        <v>0</v>
      </c>
      <c r="E11" s="22">
        <v>0</v>
      </c>
      <c r="F11" s="40" t="e">
        <f t="shared" si="1"/>
        <v>#DIV/0!</v>
      </c>
      <c r="G11" s="88">
        <v>0</v>
      </c>
      <c r="H11" s="88">
        <v>0</v>
      </c>
      <c r="I11" s="89">
        <f t="shared" si="2"/>
        <v>0</v>
      </c>
      <c r="J11" s="19">
        <v>0</v>
      </c>
      <c r="K11" s="90" t="e">
        <f t="shared" si="3"/>
        <v>#DIV/0!</v>
      </c>
      <c r="L11" s="94">
        <v>0</v>
      </c>
    </row>
    <row r="12" spans="1:12" x14ac:dyDescent="0.25">
      <c r="A12" s="19">
        <v>7</v>
      </c>
      <c r="B12" s="87">
        <v>0</v>
      </c>
      <c r="C12" s="87">
        <v>0</v>
      </c>
      <c r="D12" s="40">
        <f t="shared" si="0"/>
        <v>0</v>
      </c>
      <c r="E12" s="22">
        <v>0</v>
      </c>
      <c r="F12" s="40" t="e">
        <f t="shared" si="1"/>
        <v>#DIV/0!</v>
      </c>
      <c r="G12" s="88">
        <v>0</v>
      </c>
      <c r="H12" s="88">
        <v>0</v>
      </c>
      <c r="I12" s="89">
        <f t="shared" si="2"/>
        <v>0</v>
      </c>
      <c r="J12" s="19">
        <v>0</v>
      </c>
      <c r="K12" s="90" t="e">
        <f t="shared" si="3"/>
        <v>#DIV/0!</v>
      </c>
      <c r="L12" s="94">
        <v>0</v>
      </c>
    </row>
    <row r="13" spans="1:12" x14ac:dyDescent="0.25">
      <c r="A13" s="19">
        <v>8</v>
      </c>
      <c r="B13" s="87">
        <v>0</v>
      </c>
      <c r="C13" s="87">
        <v>0</v>
      </c>
      <c r="D13" s="40">
        <f t="shared" si="0"/>
        <v>0</v>
      </c>
      <c r="E13" s="22">
        <v>0</v>
      </c>
      <c r="F13" s="40" t="e">
        <f t="shared" si="1"/>
        <v>#DIV/0!</v>
      </c>
      <c r="G13" s="88">
        <v>0</v>
      </c>
      <c r="H13" s="88">
        <v>0</v>
      </c>
      <c r="I13" s="89">
        <f t="shared" si="2"/>
        <v>0</v>
      </c>
      <c r="J13" s="19">
        <v>0</v>
      </c>
      <c r="K13" s="90" t="e">
        <f t="shared" si="3"/>
        <v>#DIV/0!</v>
      </c>
      <c r="L13" s="94">
        <v>0</v>
      </c>
    </row>
    <row r="14" spans="1:12" x14ac:dyDescent="0.25">
      <c r="A14" s="19">
        <v>9</v>
      </c>
      <c r="B14" s="87">
        <v>0</v>
      </c>
      <c r="C14" s="87">
        <v>0</v>
      </c>
      <c r="D14" s="40">
        <f t="shared" si="0"/>
        <v>0</v>
      </c>
      <c r="E14" s="22">
        <v>0</v>
      </c>
      <c r="F14" s="40" t="e">
        <f t="shared" si="1"/>
        <v>#DIV/0!</v>
      </c>
      <c r="G14" s="88">
        <v>0</v>
      </c>
      <c r="H14" s="88">
        <v>0</v>
      </c>
      <c r="I14" s="89">
        <f t="shared" si="2"/>
        <v>0</v>
      </c>
      <c r="J14" s="19">
        <v>0</v>
      </c>
      <c r="K14" s="90" t="e">
        <f t="shared" si="3"/>
        <v>#DIV/0!</v>
      </c>
      <c r="L14" s="94">
        <v>0</v>
      </c>
    </row>
    <row r="15" spans="1:12" x14ac:dyDescent="0.25">
      <c r="A15" s="19">
        <v>10</v>
      </c>
      <c r="B15" s="87"/>
      <c r="C15" s="87"/>
      <c r="D15" s="40"/>
      <c r="E15" s="22"/>
      <c r="F15" s="40"/>
      <c r="G15" s="88"/>
      <c r="H15" s="88"/>
      <c r="I15" s="89"/>
      <c r="J15" s="19"/>
      <c r="K15" s="90"/>
      <c r="L15" s="94"/>
    </row>
    <row r="16" spans="1:12" x14ac:dyDescent="0.25">
      <c r="A16" s="19">
        <v>11</v>
      </c>
      <c r="B16" s="87"/>
      <c r="C16" s="87"/>
      <c r="D16" s="40"/>
      <c r="E16" s="22"/>
      <c r="F16" s="40"/>
      <c r="G16" s="88"/>
      <c r="H16" s="88"/>
      <c r="I16" s="89"/>
      <c r="J16" s="19"/>
      <c r="K16" s="90"/>
      <c r="L16" s="94"/>
    </row>
    <row r="17" spans="1:12" x14ac:dyDescent="0.25">
      <c r="A17" s="19">
        <v>12</v>
      </c>
      <c r="B17" s="87"/>
      <c r="C17" s="87"/>
      <c r="D17" s="40"/>
      <c r="E17" s="22"/>
      <c r="F17" s="40"/>
      <c r="G17" s="88"/>
      <c r="H17" s="88"/>
      <c r="I17" s="89"/>
      <c r="J17" s="19"/>
      <c r="K17" s="90"/>
      <c r="L17" s="94"/>
    </row>
    <row r="18" spans="1:12" x14ac:dyDescent="0.25">
      <c r="A18" s="19">
        <v>13</v>
      </c>
      <c r="B18" s="87">
        <v>0</v>
      </c>
      <c r="C18" s="87">
        <v>0</v>
      </c>
      <c r="D18" s="40">
        <f t="shared" si="0"/>
        <v>0</v>
      </c>
      <c r="E18" s="22">
        <v>0</v>
      </c>
      <c r="F18" s="40" t="e">
        <f t="shared" si="1"/>
        <v>#DIV/0!</v>
      </c>
      <c r="G18" s="88">
        <v>1</v>
      </c>
      <c r="H18" s="88">
        <v>1</v>
      </c>
      <c r="I18" s="89">
        <f t="shared" si="2"/>
        <v>1</v>
      </c>
      <c r="J18" s="19">
        <v>0</v>
      </c>
      <c r="K18" s="90" t="e">
        <f t="shared" si="3"/>
        <v>#DIV/0!</v>
      </c>
      <c r="L18" s="94">
        <v>0</v>
      </c>
    </row>
    <row r="19" spans="1:12" x14ac:dyDescent="0.25">
      <c r="A19" s="19">
        <v>14</v>
      </c>
      <c r="B19" s="87">
        <v>0</v>
      </c>
      <c r="C19" s="87">
        <v>0</v>
      </c>
      <c r="D19" s="40">
        <f t="shared" si="0"/>
        <v>0</v>
      </c>
      <c r="E19" s="22">
        <v>0</v>
      </c>
      <c r="F19" s="40" t="e">
        <f t="shared" si="1"/>
        <v>#DIV/0!</v>
      </c>
      <c r="G19" s="88">
        <v>0</v>
      </c>
      <c r="H19" s="88">
        <v>0</v>
      </c>
      <c r="I19" s="89">
        <f t="shared" si="2"/>
        <v>0</v>
      </c>
      <c r="J19" s="19">
        <v>0</v>
      </c>
      <c r="K19" s="90" t="e">
        <f t="shared" si="3"/>
        <v>#DIV/0!</v>
      </c>
      <c r="L19" s="94">
        <v>0</v>
      </c>
    </row>
    <row r="20" spans="1:12" x14ac:dyDescent="0.25">
      <c r="A20" s="19">
        <v>15</v>
      </c>
      <c r="B20" s="87">
        <v>0</v>
      </c>
      <c r="C20" s="87">
        <v>0</v>
      </c>
      <c r="D20" s="40">
        <f t="shared" si="0"/>
        <v>0</v>
      </c>
      <c r="E20" s="22">
        <v>0</v>
      </c>
      <c r="F20" s="40" t="e">
        <f t="shared" si="1"/>
        <v>#DIV/0!</v>
      </c>
      <c r="G20" s="88">
        <v>0</v>
      </c>
      <c r="H20" s="88">
        <v>0</v>
      </c>
      <c r="I20" s="89">
        <f t="shared" si="2"/>
        <v>0</v>
      </c>
      <c r="J20" s="19">
        <v>0</v>
      </c>
      <c r="K20" s="90" t="e">
        <f t="shared" si="3"/>
        <v>#DIV/0!</v>
      </c>
      <c r="L20" s="94">
        <v>0</v>
      </c>
    </row>
    <row r="21" spans="1:12" x14ac:dyDescent="0.25">
      <c r="A21" s="19">
        <v>16</v>
      </c>
      <c r="B21" s="87">
        <v>0</v>
      </c>
      <c r="C21" s="87">
        <v>0</v>
      </c>
      <c r="D21" s="40">
        <f t="shared" si="0"/>
        <v>0</v>
      </c>
      <c r="E21" s="22">
        <v>0</v>
      </c>
      <c r="F21" s="40" t="e">
        <f t="shared" si="1"/>
        <v>#DIV/0!</v>
      </c>
      <c r="G21" s="88">
        <v>0</v>
      </c>
      <c r="H21" s="88">
        <v>0</v>
      </c>
      <c r="I21" s="89">
        <f t="shared" si="2"/>
        <v>0</v>
      </c>
      <c r="J21" s="19">
        <v>0</v>
      </c>
      <c r="K21" s="90" t="e">
        <f t="shared" si="3"/>
        <v>#DIV/0!</v>
      </c>
      <c r="L21" s="94">
        <v>75</v>
      </c>
    </row>
    <row r="22" spans="1:12" x14ac:dyDescent="0.25">
      <c r="A22" s="19">
        <v>17</v>
      </c>
      <c r="B22" s="87"/>
      <c r="C22" s="87"/>
      <c r="D22" s="40"/>
      <c r="E22" s="22"/>
      <c r="F22" s="40"/>
      <c r="G22" s="88"/>
      <c r="H22" s="88"/>
      <c r="I22" s="89"/>
      <c r="J22" s="19"/>
      <c r="K22" s="90"/>
      <c r="L22" s="94"/>
    </row>
    <row r="23" spans="1:12" x14ac:dyDescent="0.25">
      <c r="A23" s="19">
        <v>18</v>
      </c>
      <c r="B23" s="87"/>
      <c r="C23" s="87"/>
      <c r="D23" s="40"/>
      <c r="E23" s="22"/>
      <c r="F23" s="40"/>
      <c r="G23" s="88"/>
      <c r="H23" s="88"/>
      <c r="I23" s="89"/>
      <c r="J23" s="19"/>
      <c r="K23" s="90"/>
      <c r="L23" s="94"/>
    </row>
    <row r="24" spans="1:12" x14ac:dyDescent="0.25">
      <c r="A24" s="19">
        <v>19</v>
      </c>
      <c r="B24" s="87"/>
      <c r="C24" s="87"/>
      <c r="D24" s="40"/>
      <c r="E24" s="22"/>
      <c r="F24" s="40"/>
      <c r="G24" s="88"/>
      <c r="H24" s="88"/>
      <c r="I24" s="89"/>
      <c r="J24" s="19"/>
      <c r="K24" s="90"/>
      <c r="L24" s="94"/>
    </row>
    <row r="25" spans="1:12" x14ac:dyDescent="0.25">
      <c r="A25" s="19">
        <v>20</v>
      </c>
      <c r="B25" s="87">
        <v>0</v>
      </c>
      <c r="C25" s="87">
        <v>0</v>
      </c>
      <c r="D25" s="40">
        <f t="shared" si="0"/>
        <v>0</v>
      </c>
      <c r="E25" s="22">
        <v>0</v>
      </c>
      <c r="F25" s="40" t="e">
        <f t="shared" si="1"/>
        <v>#DIV/0!</v>
      </c>
      <c r="G25" s="88">
        <v>1</v>
      </c>
      <c r="H25" s="88">
        <v>1</v>
      </c>
      <c r="I25" s="89">
        <f t="shared" si="2"/>
        <v>1</v>
      </c>
      <c r="J25" s="19">
        <v>0</v>
      </c>
      <c r="K25" s="90" t="e">
        <f t="shared" si="3"/>
        <v>#DIV/0!</v>
      </c>
      <c r="L25" s="94">
        <v>0</v>
      </c>
    </row>
    <row r="26" spans="1:12" x14ac:dyDescent="0.25">
      <c r="A26" s="19">
        <v>21</v>
      </c>
      <c r="B26" s="87">
        <v>0</v>
      </c>
      <c r="C26" s="87">
        <v>0</v>
      </c>
      <c r="D26" s="40">
        <f t="shared" si="0"/>
        <v>0</v>
      </c>
      <c r="E26" s="22">
        <v>0</v>
      </c>
      <c r="F26" s="40" t="e">
        <f t="shared" si="1"/>
        <v>#DIV/0!</v>
      </c>
      <c r="G26" s="88">
        <v>0</v>
      </c>
      <c r="H26" s="88">
        <v>0</v>
      </c>
      <c r="I26" s="89">
        <f t="shared" si="2"/>
        <v>0</v>
      </c>
      <c r="J26" s="19">
        <v>0</v>
      </c>
      <c r="K26" s="90" t="e">
        <f t="shared" si="3"/>
        <v>#DIV/0!</v>
      </c>
      <c r="L26" s="94">
        <v>0</v>
      </c>
    </row>
    <row r="27" spans="1:12" x14ac:dyDescent="0.25">
      <c r="A27" s="19">
        <v>22</v>
      </c>
      <c r="B27" s="87">
        <v>0</v>
      </c>
      <c r="C27" s="87">
        <v>0</v>
      </c>
      <c r="D27" s="40">
        <f t="shared" si="0"/>
        <v>0</v>
      </c>
      <c r="E27" s="22">
        <v>0</v>
      </c>
      <c r="F27" s="40" t="e">
        <f t="shared" si="1"/>
        <v>#DIV/0!</v>
      </c>
      <c r="G27" s="88">
        <v>0</v>
      </c>
      <c r="H27" s="88">
        <v>0</v>
      </c>
      <c r="I27" s="89">
        <f t="shared" si="2"/>
        <v>0</v>
      </c>
      <c r="J27" s="19">
        <v>0</v>
      </c>
      <c r="K27" s="90" t="e">
        <f t="shared" si="3"/>
        <v>#DIV/0!</v>
      </c>
      <c r="L27" s="94">
        <v>0</v>
      </c>
    </row>
    <row r="28" spans="1:12" x14ac:dyDescent="0.25">
      <c r="A28" s="19">
        <v>23</v>
      </c>
      <c r="B28" s="87">
        <v>0</v>
      </c>
      <c r="C28" s="87">
        <v>0</v>
      </c>
      <c r="D28" s="40">
        <f t="shared" si="0"/>
        <v>0</v>
      </c>
      <c r="E28" s="22">
        <v>0</v>
      </c>
      <c r="F28" s="40" t="e">
        <f t="shared" si="1"/>
        <v>#DIV/0!</v>
      </c>
      <c r="G28" s="88">
        <v>0</v>
      </c>
      <c r="H28" s="88">
        <v>0</v>
      </c>
      <c r="I28" s="89">
        <f t="shared" si="2"/>
        <v>0</v>
      </c>
      <c r="J28" s="19">
        <v>0</v>
      </c>
      <c r="K28" s="90" t="e">
        <f t="shared" si="3"/>
        <v>#DIV/0!</v>
      </c>
      <c r="L28" s="94">
        <v>0</v>
      </c>
    </row>
    <row r="29" spans="1:12" x14ac:dyDescent="0.25">
      <c r="A29" s="19">
        <v>24</v>
      </c>
      <c r="B29" s="87"/>
      <c r="C29" s="87"/>
      <c r="D29" s="40"/>
      <c r="E29" s="22"/>
      <c r="F29" s="40"/>
      <c r="G29" s="88"/>
      <c r="H29" s="88"/>
      <c r="I29" s="89"/>
      <c r="J29" s="19"/>
      <c r="K29" s="90"/>
      <c r="L29" s="94"/>
    </row>
    <row r="30" spans="1:12" x14ac:dyDescent="0.25">
      <c r="A30" s="19">
        <v>25</v>
      </c>
      <c r="B30" s="87"/>
      <c r="C30" s="87"/>
      <c r="D30" s="40"/>
      <c r="E30" s="22"/>
      <c r="F30" s="40"/>
      <c r="G30" s="88"/>
      <c r="H30" s="88"/>
      <c r="I30" s="89"/>
      <c r="J30" s="19"/>
      <c r="K30" s="90"/>
      <c r="L30" s="94"/>
    </row>
    <row r="31" spans="1:12" x14ac:dyDescent="0.25">
      <c r="A31" s="19">
        <v>26</v>
      </c>
      <c r="B31" s="87"/>
      <c r="C31" s="87"/>
      <c r="D31" s="40"/>
      <c r="E31" s="22"/>
      <c r="F31" s="40"/>
      <c r="G31" s="88"/>
      <c r="H31" s="88"/>
      <c r="I31" s="89"/>
      <c r="J31" s="19"/>
      <c r="K31" s="90"/>
      <c r="L31" s="94"/>
    </row>
    <row r="32" spans="1:12" x14ac:dyDescent="0.25">
      <c r="A32" s="19">
        <v>27</v>
      </c>
      <c r="B32" s="87">
        <v>0</v>
      </c>
      <c r="C32" s="87">
        <v>0</v>
      </c>
      <c r="D32" s="40">
        <f t="shared" si="0"/>
        <v>0</v>
      </c>
      <c r="E32" s="22">
        <v>0</v>
      </c>
      <c r="F32" s="40" t="e">
        <f t="shared" si="1"/>
        <v>#DIV/0!</v>
      </c>
      <c r="G32" s="88">
        <v>0</v>
      </c>
      <c r="H32" s="88">
        <v>0</v>
      </c>
      <c r="I32" s="89">
        <f t="shared" si="2"/>
        <v>0</v>
      </c>
      <c r="J32" s="19">
        <v>0</v>
      </c>
      <c r="K32" s="90" t="e">
        <f t="shared" si="3"/>
        <v>#DIV/0!</v>
      </c>
      <c r="L32" s="94">
        <v>0</v>
      </c>
    </row>
    <row r="33" spans="1:12" x14ac:dyDescent="0.25">
      <c r="A33" s="19">
        <v>28</v>
      </c>
      <c r="B33" s="87">
        <v>0</v>
      </c>
      <c r="C33" s="87">
        <v>0</v>
      </c>
      <c r="D33" s="40">
        <f t="shared" si="0"/>
        <v>0</v>
      </c>
      <c r="E33" s="22">
        <v>0</v>
      </c>
      <c r="F33" s="40" t="e">
        <f t="shared" si="1"/>
        <v>#DIV/0!</v>
      </c>
      <c r="G33" s="88">
        <v>0</v>
      </c>
      <c r="H33" s="88">
        <v>0</v>
      </c>
      <c r="I33" s="89">
        <f t="shared" si="2"/>
        <v>0</v>
      </c>
      <c r="J33" s="19">
        <v>0</v>
      </c>
      <c r="K33" s="90" t="e">
        <f t="shared" si="3"/>
        <v>#DIV/0!</v>
      </c>
      <c r="L33" s="94">
        <v>0</v>
      </c>
    </row>
    <row r="34" spans="1:12" x14ac:dyDescent="0.25">
      <c r="A34" s="19">
        <v>29</v>
      </c>
      <c r="B34" s="87">
        <v>0</v>
      </c>
      <c r="C34" s="87">
        <v>0</v>
      </c>
      <c r="D34" s="40">
        <f t="shared" si="0"/>
        <v>0</v>
      </c>
      <c r="E34" s="22">
        <v>0</v>
      </c>
      <c r="F34" s="40" t="e">
        <f t="shared" si="1"/>
        <v>#DIV/0!</v>
      </c>
      <c r="G34" s="88">
        <v>0</v>
      </c>
      <c r="H34" s="88">
        <v>1</v>
      </c>
      <c r="I34" s="89">
        <f t="shared" si="2"/>
        <v>0</v>
      </c>
      <c r="J34" s="19">
        <v>0</v>
      </c>
      <c r="K34" s="90" t="e">
        <f t="shared" si="3"/>
        <v>#DIV/0!</v>
      </c>
      <c r="L34" s="94">
        <v>75</v>
      </c>
    </row>
    <row r="35" spans="1:12" x14ac:dyDescent="0.25">
      <c r="A35" s="19">
        <v>30</v>
      </c>
      <c r="B35" s="87">
        <v>0</v>
      </c>
      <c r="C35" s="87">
        <v>0</v>
      </c>
      <c r="D35" s="40">
        <f t="shared" si="0"/>
        <v>0</v>
      </c>
      <c r="E35" s="22">
        <v>0</v>
      </c>
      <c r="F35" s="40" t="e">
        <f t="shared" si="1"/>
        <v>#DIV/0!</v>
      </c>
      <c r="G35" s="88">
        <v>0</v>
      </c>
      <c r="H35" s="88">
        <v>0</v>
      </c>
      <c r="I35" s="89">
        <f t="shared" si="2"/>
        <v>0</v>
      </c>
      <c r="J35" s="19">
        <v>0</v>
      </c>
      <c r="K35" s="90" t="e">
        <f t="shared" si="3"/>
        <v>#DIV/0!</v>
      </c>
      <c r="L35" s="94">
        <v>0</v>
      </c>
    </row>
    <row r="36" spans="1:12" x14ac:dyDescent="0.25">
      <c r="A36" s="19">
        <v>31</v>
      </c>
      <c r="B36" s="87"/>
      <c r="C36" s="87"/>
      <c r="D36" s="40"/>
      <c r="E36" s="22"/>
      <c r="F36" s="40"/>
      <c r="G36" s="88"/>
      <c r="H36" s="88"/>
      <c r="I36" s="89"/>
      <c r="J36" s="19"/>
      <c r="K36" s="90"/>
      <c r="L36" s="94"/>
    </row>
    <row r="37" spans="1:12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4">IFERROR((C37/B37),0)</f>
        <v>0</v>
      </c>
      <c r="E37" s="56">
        <f>SUM(E6:E36)</f>
        <v>0</v>
      </c>
      <c r="F37" s="56"/>
      <c r="G37" s="77">
        <f>SUM(G6:G36)</f>
        <v>2</v>
      </c>
      <c r="H37" s="77">
        <f>SUM(H6:H36)</f>
        <v>3</v>
      </c>
      <c r="I37" s="95">
        <f t="shared" si="2"/>
        <v>1.5</v>
      </c>
      <c r="J37" s="96">
        <f>SUM(J6:J36)</f>
        <v>0</v>
      </c>
      <c r="K37" s="83"/>
      <c r="L37" s="97">
        <f t="shared" ref="L37" si="5">SUM(L6:L36)</f>
        <v>150</v>
      </c>
    </row>
    <row r="38" spans="1:12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4"/>
        <v>0</v>
      </c>
      <c r="E38" s="56">
        <f>E37/B39</f>
        <v>0</v>
      </c>
      <c r="F38" s="56"/>
      <c r="G38" s="77">
        <f>G37/$B$39</f>
        <v>0.11764705882352941</v>
      </c>
      <c r="H38" s="77">
        <f>H37/$B$39</f>
        <v>0.17647058823529413</v>
      </c>
      <c r="I38" s="95">
        <f t="shared" si="2"/>
        <v>1.5000000000000002</v>
      </c>
      <c r="J38" s="96">
        <f>J37/B39</f>
        <v>0</v>
      </c>
      <c r="K38" s="83"/>
      <c r="L38" s="85">
        <f>L37/B39</f>
        <v>8.8235294117647065</v>
      </c>
    </row>
    <row r="39" spans="1:12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83"/>
      <c r="L39" s="85"/>
    </row>
    <row r="40" spans="1:12" x14ac:dyDescent="0.25">
      <c r="A40" s="34"/>
      <c r="B40" s="80"/>
      <c r="C40" s="80"/>
      <c r="D40" s="81"/>
      <c r="E40" s="56"/>
      <c r="F40" s="56"/>
      <c r="G40" s="80"/>
      <c r="H40" s="80"/>
      <c r="I40" s="98"/>
      <c r="J40" s="82"/>
      <c r="K40" s="83"/>
      <c r="L40" s="85"/>
    </row>
    <row r="41" spans="1:12" x14ac:dyDescent="0.25">
      <c r="A41" s="9"/>
      <c r="B41" s="2"/>
      <c r="C41" s="2"/>
      <c r="D41" s="3"/>
      <c r="G41" s="2"/>
      <c r="H41" s="2"/>
      <c r="I41" s="16"/>
      <c r="J41" s="15"/>
    </row>
    <row r="42" spans="1:12" x14ac:dyDescent="0.25">
      <c r="A42" s="9"/>
      <c r="B42" s="2"/>
      <c r="C42" s="2"/>
      <c r="D42" s="3"/>
      <c r="G42" s="2"/>
      <c r="H42" s="2"/>
      <c r="I42" s="16"/>
      <c r="J42" s="15"/>
    </row>
    <row r="43" spans="1:12" x14ac:dyDescent="0.25">
      <c r="A43" s="9"/>
      <c r="B43" s="2"/>
      <c r="C43" s="2"/>
      <c r="D43" s="3"/>
      <c r="G43" s="2"/>
      <c r="H43" s="2"/>
      <c r="I43" s="16"/>
      <c r="J43" s="15"/>
    </row>
    <row r="44" spans="1:12" x14ac:dyDescent="0.25">
      <c r="A44" s="9"/>
      <c r="B44" s="2"/>
      <c r="C44" s="2"/>
      <c r="D44" s="3"/>
      <c r="G44" s="2"/>
      <c r="H44" s="2"/>
      <c r="I44" s="16"/>
      <c r="J44" s="15"/>
    </row>
    <row r="45" spans="1:12" x14ac:dyDescent="0.25">
      <c r="A45" s="9"/>
      <c r="B45" s="2"/>
      <c r="C45" s="2"/>
      <c r="D45" s="3"/>
      <c r="G45" s="2"/>
      <c r="H45" s="2"/>
      <c r="I45" s="16"/>
      <c r="J45" s="15"/>
    </row>
    <row r="46" spans="1:12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type="list" allowBlank="1" showInputMessage="1" showErrorMessage="1" sqref="I2:J2" xr:uid="{DA89FF5D-56D6-4DA1-9C57-2911219EB343}">
      <formula1>#REF!</formula1>
    </dataValidation>
    <dataValidation allowBlank="1" showInputMessage="1" showErrorMessage="1" prompt="Scheduled Day 1" sqref="B4" xr:uid="{14345D58-2BE1-4C0E-8FF7-4B40DEA8881F}"/>
    <dataValidation allowBlank="1" showInputMessage="1" showErrorMessage="1" prompt="Actual Day 1" sqref="C4" xr:uid="{62F793D4-DE3F-4171-BC69-E1C849B7BA8A}"/>
  </dataValidations>
  <hyperlinks>
    <hyperlink ref="D4" location="Stats!D4" tooltip="Scheduled to Actual Day 1 % rate" display="Sch/Act" xr:uid="{F6F1C094-6286-491B-999B-E200F197C59B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EA7A-EC86-40B0-872D-896A59BD3C1F}">
  <dimension ref="A1:L46"/>
  <sheetViews>
    <sheetView topLeftCell="A4" zoomScale="80" zoomScaleNormal="80" workbookViewId="0">
      <selection activeCell="E39" sqref="E39"/>
    </sheetView>
  </sheetViews>
  <sheetFormatPr defaultColWidth="8.7109375" defaultRowHeight="15" x14ac:dyDescent="0.25"/>
  <cols>
    <col min="1" max="1" width="10.140625" bestFit="1" customWidth="1"/>
    <col min="2" max="2" width="10" bestFit="1" customWidth="1"/>
    <col min="3" max="3" width="5.5703125" bestFit="1" customWidth="1"/>
    <col min="4" max="4" width="8" bestFit="1" customWidth="1"/>
    <col min="5" max="5" width="6.28515625" bestFit="1" customWidth="1"/>
    <col min="6" max="6" width="12.7109375" bestFit="1" customWidth="1"/>
    <col min="7" max="8" width="6.140625" customWidth="1"/>
    <col min="9" max="9" width="9.140625" style="17" customWidth="1"/>
    <col min="10" max="10" width="12.7109375" style="17" bestFit="1" customWidth="1"/>
    <col min="11" max="11" width="11.7109375" style="35" customWidth="1"/>
    <col min="12" max="12" width="8.140625" style="42" customWidth="1"/>
  </cols>
  <sheetData>
    <row r="1" spans="1:12" x14ac:dyDescent="0.25">
      <c r="A1" s="1" t="s">
        <v>12</v>
      </c>
      <c r="B1" s="2"/>
      <c r="C1" s="2"/>
      <c r="D1" s="3"/>
      <c r="G1" s="2"/>
      <c r="H1" s="2"/>
      <c r="I1" s="15"/>
      <c r="J1" s="15"/>
    </row>
    <row r="2" spans="1:12" x14ac:dyDescent="0.25">
      <c r="A2" s="7" t="s">
        <v>14</v>
      </c>
      <c r="B2" s="20" t="str">
        <f>Stats!B2</f>
        <v>January</v>
      </c>
      <c r="C2" s="21">
        <f>Stats!C2</f>
        <v>2025</v>
      </c>
      <c r="D2" s="7"/>
      <c r="G2" s="2"/>
      <c r="H2" s="2"/>
      <c r="I2" s="18"/>
      <c r="J2" s="18"/>
    </row>
    <row r="3" spans="1:12" x14ac:dyDescent="0.25">
      <c r="A3" s="86" t="s">
        <v>15</v>
      </c>
      <c r="B3" s="59"/>
      <c r="C3" s="59"/>
      <c r="D3" s="60"/>
      <c r="E3" s="62"/>
      <c r="F3" s="62"/>
      <c r="G3" s="54" t="s">
        <v>16</v>
      </c>
      <c r="H3" s="54"/>
      <c r="I3" s="54"/>
      <c r="J3" s="54"/>
      <c r="K3" s="55"/>
      <c r="L3" s="43"/>
    </row>
    <row r="4" spans="1:12" x14ac:dyDescent="0.25">
      <c r="A4" s="25" t="s">
        <v>18</v>
      </c>
      <c r="B4" s="25" t="s">
        <v>19</v>
      </c>
      <c r="C4" s="25" t="s">
        <v>20</v>
      </c>
      <c r="D4" s="26" t="s">
        <v>21</v>
      </c>
      <c r="E4" s="25" t="s">
        <v>24</v>
      </c>
      <c r="F4" s="27" t="s">
        <v>23</v>
      </c>
      <c r="G4" s="54" t="s">
        <v>19</v>
      </c>
      <c r="H4" s="54" t="s">
        <v>20</v>
      </c>
      <c r="I4" s="54" t="s">
        <v>25</v>
      </c>
      <c r="J4" s="54" t="s">
        <v>72</v>
      </c>
      <c r="K4" s="55" t="s">
        <v>73</v>
      </c>
      <c r="L4" s="43"/>
    </row>
    <row r="5" spans="1:12" x14ac:dyDescent="0.25">
      <c r="A5" s="36" t="s">
        <v>33</v>
      </c>
      <c r="B5" s="36" t="s">
        <v>34</v>
      </c>
      <c r="C5" s="36" t="s">
        <v>34</v>
      </c>
      <c r="D5" s="37" t="s">
        <v>34</v>
      </c>
      <c r="E5" s="36" t="s">
        <v>36</v>
      </c>
      <c r="F5" s="37" t="s">
        <v>78</v>
      </c>
      <c r="G5" s="54" t="s">
        <v>25</v>
      </c>
      <c r="H5" s="54" t="s">
        <v>25</v>
      </c>
      <c r="I5" s="54" t="s">
        <v>23</v>
      </c>
      <c r="J5" s="54" t="s">
        <v>73</v>
      </c>
      <c r="K5" s="55" t="s">
        <v>79</v>
      </c>
      <c r="L5" s="43" t="s">
        <v>70</v>
      </c>
    </row>
    <row r="6" spans="1:12" x14ac:dyDescent="0.25">
      <c r="A6" s="19">
        <v>1</v>
      </c>
      <c r="B6" s="87">
        <v>0</v>
      </c>
      <c r="C6" s="87">
        <v>0</v>
      </c>
      <c r="D6" s="40">
        <f>IFERROR((C6/B6),0)</f>
        <v>0</v>
      </c>
      <c r="E6" s="22">
        <v>0</v>
      </c>
      <c r="F6" s="40" t="e">
        <f>E6/C6</f>
        <v>#DIV/0!</v>
      </c>
      <c r="G6" s="88">
        <v>0</v>
      </c>
      <c r="H6" s="88">
        <v>0</v>
      </c>
      <c r="I6" s="89">
        <f>IFERROR((H6/G6),0)</f>
        <v>0</v>
      </c>
      <c r="J6" s="19">
        <v>0</v>
      </c>
      <c r="K6" s="90" t="e">
        <f t="shared" ref="K6:K36" si="0">J6/E6</f>
        <v>#DIV/0!</v>
      </c>
      <c r="L6" s="94">
        <v>0</v>
      </c>
    </row>
    <row r="7" spans="1:12" x14ac:dyDescent="0.25">
      <c r="A7" s="19">
        <v>2</v>
      </c>
      <c r="B7" s="87">
        <v>0</v>
      </c>
      <c r="C7" s="87">
        <v>0</v>
      </c>
      <c r="D7" s="40">
        <f t="shared" ref="D7:D36" si="1">IFERROR((C7/B7),0)</f>
        <v>0</v>
      </c>
      <c r="E7" s="22">
        <v>0</v>
      </c>
      <c r="F7" s="40" t="e">
        <f t="shared" ref="F7:F36" si="2">E7/C7</f>
        <v>#DIV/0!</v>
      </c>
      <c r="G7" s="88">
        <v>0</v>
      </c>
      <c r="H7" s="88">
        <v>0</v>
      </c>
      <c r="I7" s="89">
        <f t="shared" ref="I7:I38" si="3">IFERROR((H7/G7),0)</f>
        <v>0</v>
      </c>
      <c r="J7" s="19">
        <v>0</v>
      </c>
      <c r="K7" s="90" t="e">
        <f t="shared" si="0"/>
        <v>#DIV/0!</v>
      </c>
      <c r="L7" s="94">
        <v>0</v>
      </c>
    </row>
    <row r="8" spans="1:12" x14ac:dyDescent="0.25">
      <c r="A8" s="19">
        <v>3</v>
      </c>
      <c r="B8" s="87">
        <v>0</v>
      </c>
      <c r="C8" s="87">
        <v>0</v>
      </c>
      <c r="D8" s="40">
        <f t="shared" si="1"/>
        <v>0</v>
      </c>
      <c r="E8" s="22">
        <v>0</v>
      </c>
      <c r="F8" s="40" t="e">
        <f t="shared" si="2"/>
        <v>#DIV/0!</v>
      </c>
      <c r="G8" s="88">
        <v>0</v>
      </c>
      <c r="H8" s="88">
        <v>0</v>
      </c>
      <c r="I8" s="89">
        <f t="shared" si="3"/>
        <v>0</v>
      </c>
      <c r="J8" s="19">
        <v>0</v>
      </c>
      <c r="K8" s="90" t="e">
        <f t="shared" si="0"/>
        <v>#DIV/0!</v>
      </c>
      <c r="L8" s="94">
        <v>0</v>
      </c>
    </row>
    <row r="9" spans="1:12" x14ac:dyDescent="0.25">
      <c r="A9" s="19">
        <v>4</v>
      </c>
      <c r="B9" s="87">
        <v>0</v>
      </c>
      <c r="C9" s="87">
        <v>0</v>
      </c>
      <c r="D9" s="40">
        <f t="shared" si="1"/>
        <v>0</v>
      </c>
      <c r="E9" s="22">
        <v>0</v>
      </c>
      <c r="F9" s="40" t="e">
        <f t="shared" si="2"/>
        <v>#DIV/0!</v>
      </c>
      <c r="G9" s="88">
        <v>0</v>
      </c>
      <c r="H9" s="88">
        <v>0</v>
      </c>
      <c r="I9" s="89">
        <f t="shared" si="3"/>
        <v>0</v>
      </c>
      <c r="J9" s="19">
        <v>0</v>
      </c>
      <c r="K9" s="90" t="e">
        <f t="shared" si="0"/>
        <v>#DIV/0!</v>
      </c>
      <c r="L9" s="94">
        <v>0</v>
      </c>
    </row>
    <row r="10" spans="1:12" x14ac:dyDescent="0.25">
      <c r="A10" s="19">
        <v>5</v>
      </c>
      <c r="B10" s="87">
        <v>0</v>
      </c>
      <c r="C10" s="87">
        <v>0</v>
      </c>
      <c r="D10" s="40">
        <f t="shared" si="1"/>
        <v>0</v>
      </c>
      <c r="E10" s="22">
        <v>0</v>
      </c>
      <c r="F10" s="40" t="e">
        <f t="shared" si="2"/>
        <v>#DIV/0!</v>
      </c>
      <c r="G10" s="88">
        <v>0</v>
      </c>
      <c r="H10" s="88">
        <v>0</v>
      </c>
      <c r="I10" s="89">
        <f t="shared" si="3"/>
        <v>0</v>
      </c>
      <c r="J10" s="19">
        <v>0</v>
      </c>
      <c r="K10" s="90" t="e">
        <f t="shared" si="0"/>
        <v>#DIV/0!</v>
      </c>
      <c r="L10" s="94">
        <v>0</v>
      </c>
    </row>
    <row r="11" spans="1:12" x14ac:dyDescent="0.25">
      <c r="A11" s="19">
        <v>6</v>
      </c>
      <c r="B11" s="87">
        <v>0</v>
      </c>
      <c r="C11" s="87">
        <v>0</v>
      </c>
      <c r="D11" s="40">
        <f t="shared" si="1"/>
        <v>0</v>
      </c>
      <c r="E11" s="22">
        <v>0</v>
      </c>
      <c r="F11" s="40" t="e">
        <f t="shared" si="2"/>
        <v>#DIV/0!</v>
      </c>
      <c r="G11" s="88">
        <v>0</v>
      </c>
      <c r="H11" s="88">
        <v>0</v>
      </c>
      <c r="I11" s="89">
        <f t="shared" si="3"/>
        <v>0</v>
      </c>
      <c r="J11" s="19">
        <v>0</v>
      </c>
      <c r="K11" s="90" t="e">
        <f t="shared" si="0"/>
        <v>#DIV/0!</v>
      </c>
      <c r="L11" s="94">
        <v>0</v>
      </c>
    </row>
    <row r="12" spans="1:12" x14ac:dyDescent="0.25">
      <c r="A12" s="19">
        <v>7</v>
      </c>
      <c r="B12" s="87">
        <v>0</v>
      </c>
      <c r="C12" s="87">
        <v>0</v>
      </c>
      <c r="D12" s="40">
        <f t="shared" si="1"/>
        <v>0</v>
      </c>
      <c r="E12" s="22">
        <v>0</v>
      </c>
      <c r="F12" s="40" t="e">
        <f t="shared" si="2"/>
        <v>#DIV/0!</v>
      </c>
      <c r="G12" s="88">
        <v>0</v>
      </c>
      <c r="H12" s="88">
        <v>0</v>
      </c>
      <c r="I12" s="89">
        <f t="shared" si="3"/>
        <v>0</v>
      </c>
      <c r="J12" s="19">
        <v>0</v>
      </c>
      <c r="K12" s="90" t="e">
        <f t="shared" si="0"/>
        <v>#DIV/0!</v>
      </c>
      <c r="L12" s="94">
        <v>0</v>
      </c>
    </row>
    <row r="13" spans="1:12" x14ac:dyDescent="0.25">
      <c r="A13" s="19">
        <v>8</v>
      </c>
      <c r="B13" s="87">
        <v>0</v>
      </c>
      <c r="C13" s="87">
        <v>0</v>
      </c>
      <c r="D13" s="40">
        <f t="shared" si="1"/>
        <v>0</v>
      </c>
      <c r="E13" s="22">
        <v>0</v>
      </c>
      <c r="F13" s="40" t="e">
        <f t="shared" si="2"/>
        <v>#DIV/0!</v>
      </c>
      <c r="G13" s="88">
        <v>0</v>
      </c>
      <c r="H13" s="88">
        <v>0</v>
      </c>
      <c r="I13" s="89">
        <f t="shared" si="3"/>
        <v>0</v>
      </c>
      <c r="J13" s="19">
        <v>0</v>
      </c>
      <c r="K13" s="90" t="e">
        <f t="shared" si="0"/>
        <v>#DIV/0!</v>
      </c>
      <c r="L13" s="94">
        <v>0</v>
      </c>
    </row>
    <row r="14" spans="1:12" x14ac:dyDescent="0.25">
      <c r="A14" s="19">
        <v>9</v>
      </c>
      <c r="B14" s="87">
        <v>0</v>
      </c>
      <c r="C14" s="87">
        <v>0</v>
      </c>
      <c r="D14" s="40">
        <f t="shared" si="1"/>
        <v>0</v>
      </c>
      <c r="E14" s="22">
        <v>0</v>
      </c>
      <c r="F14" s="40" t="e">
        <f t="shared" si="2"/>
        <v>#DIV/0!</v>
      </c>
      <c r="G14" s="88">
        <v>0</v>
      </c>
      <c r="H14" s="88">
        <v>0</v>
      </c>
      <c r="I14" s="89">
        <f t="shared" si="3"/>
        <v>0</v>
      </c>
      <c r="J14" s="19">
        <v>0</v>
      </c>
      <c r="K14" s="90" t="e">
        <f t="shared" si="0"/>
        <v>#DIV/0!</v>
      </c>
      <c r="L14" s="94">
        <v>0</v>
      </c>
    </row>
    <row r="15" spans="1:12" x14ac:dyDescent="0.25">
      <c r="A15" s="19">
        <v>10</v>
      </c>
      <c r="B15" s="87">
        <v>0</v>
      </c>
      <c r="C15" s="87">
        <v>0</v>
      </c>
      <c r="D15" s="40">
        <f t="shared" si="1"/>
        <v>0</v>
      </c>
      <c r="E15" s="22">
        <v>0</v>
      </c>
      <c r="F15" s="40" t="e">
        <f t="shared" si="2"/>
        <v>#DIV/0!</v>
      </c>
      <c r="G15" s="88">
        <v>0</v>
      </c>
      <c r="H15" s="88">
        <v>0</v>
      </c>
      <c r="I15" s="89">
        <f t="shared" si="3"/>
        <v>0</v>
      </c>
      <c r="J15" s="19">
        <v>0</v>
      </c>
      <c r="K15" s="90" t="e">
        <f t="shared" si="0"/>
        <v>#DIV/0!</v>
      </c>
      <c r="L15" s="94">
        <v>0</v>
      </c>
    </row>
    <row r="16" spans="1:12" x14ac:dyDescent="0.25">
      <c r="A16" s="19">
        <v>11</v>
      </c>
      <c r="B16" s="87">
        <v>0</v>
      </c>
      <c r="C16" s="87">
        <v>0</v>
      </c>
      <c r="D16" s="40">
        <f t="shared" si="1"/>
        <v>0</v>
      </c>
      <c r="E16" s="22">
        <v>0</v>
      </c>
      <c r="F16" s="40" t="e">
        <f t="shared" si="2"/>
        <v>#DIV/0!</v>
      </c>
      <c r="G16" s="88">
        <v>0</v>
      </c>
      <c r="H16" s="88">
        <v>0</v>
      </c>
      <c r="I16" s="89">
        <f t="shared" si="3"/>
        <v>0</v>
      </c>
      <c r="J16" s="19">
        <v>0</v>
      </c>
      <c r="K16" s="90" t="e">
        <f t="shared" si="0"/>
        <v>#DIV/0!</v>
      </c>
      <c r="L16" s="94">
        <v>0</v>
      </c>
    </row>
    <row r="17" spans="1:12" x14ac:dyDescent="0.25">
      <c r="A17" s="19">
        <v>12</v>
      </c>
      <c r="B17" s="87">
        <v>0</v>
      </c>
      <c r="C17" s="87">
        <v>0</v>
      </c>
      <c r="D17" s="40">
        <f t="shared" si="1"/>
        <v>0</v>
      </c>
      <c r="E17" s="22">
        <v>0</v>
      </c>
      <c r="F17" s="40" t="e">
        <f t="shared" si="2"/>
        <v>#DIV/0!</v>
      </c>
      <c r="G17" s="88">
        <v>0</v>
      </c>
      <c r="H17" s="88">
        <v>0</v>
      </c>
      <c r="I17" s="89">
        <f t="shared" si="3"/>
        <v>0</v>
      </c>
      <c r="J17" s="19">
        <v>0</v>
      </c>
      <c r="K17" s="90" t="e">
        <f t="shared" si="0"/>
        <v>#DIV/0!</v>
      </c>
      <c r="L17" s="94">
        <v>0</v>
      </c>
    </row>
    <row r="18" spans="1:12" x14ac:dyDescent="0.25">
      <c r="A18" s="19">
        <v>13</v>
      </c>
      <c r="B18" s="87">
        <v>0</v>
      </c>
      <c r="C18" s="87">
        <v>0</v>
      </c>
      <c r="D18" s="40">
        <f t="shared" si="1"/>
        <v>0</v>
      </c>
      <c r="E18" s="22">
        <v>0</v>
      </c>
      <c r="F18" s="40" t="e">
        <f t="shared" si="2"/>
        <v>#DIV/0!</v>
      </c>
      <c r="G18" s="88">
        <v>0</v>
      </c>
      <c r="H18" s="88">
        <v>0</v>
      </c>
      <c r="I18" s="89">
        <f t="shared" si="3"/>
        <v>0</v>
      </c>
      <c r="J18" s="19">
        <v>0</v>
      </c>
      <c r="K18" s="90" t="e">
        <f t="shared" si="0"/>
        <v>#DIV/0!</v>
      </c>
      <c r="L18" s="94">
        <v>0</v>
      </c>
    </row>
    <row r="19" spans="1:12" x14ac:dyDescent="0.25">
      <c r="A19" s="19">
        <v>14</v>
      </c>
      <c r="B19" s="87">
        <v>0</v>
      </c>
      <c r="C19" s="87">
        <v>0</v>
      </c>
      <c r="D19" s="40">
        <f t="shared" si="1"/>
        <v>0</v>
      </c>
      <c r="E19" s="22">
        <v>0</v>
      </c>
      <c r="F19" s="40" t="e">
        <f t="shared" si="2"/>
        <v>#DIV/0!</v>
      </c>
      <c r="G19" s="88">
        <v>0</v>
      </c>
      <c r="H19" s="88">
        <v>0</v>
      </c>
      <c r="I19" s="89">
        <f t="shared" si="3"/>
        <v>0</v>
      </c>
      <c r="J19" s="19">
        <v>0</v>
      </c>
      <c r="K19" s="90" t="e">
        <f t="shared" si="0"/>
        <v>#DIV/0!</v>
      </c>
      <c r="L19" s="94">
        <v>0</v>
      </c>
    </row>
    <row r="20" spans="1:12" x14ac:dyDescent="0.25">
      <c r="A20" s="19">
        <v>15</v>
      </c>
      <c r="B20" s="87">
        <v>0</v>
      </c>
      <c r="C20" s="87">
        <v>0</v>
      </c>
      <c r="D20" s="40">
        <f t="shared" si="1"/>
        <v>0</v>
      </c>
      <c r="E20" s="22">
        <v>0</v>
      </c>
      <c r="F20" s="40" t="e">
        <f t="shared" si="2"/>
        <v>#DIV/0!</v>
      </c>
      <c r="G20" s="88">
        <v>0</v>
      </c>
      <c r="H20" s="88">
        <v>0</v>
      </c>
      <c r="I20" s="89">
        <f t="shared" si="3"/>
        <v>0</v>
      </c>
      <c r="J20" s="19">
        <v>0</v>
      </c>
      <c r="K20" s="90" t="e">
        <f t="shared" si="0"/>
        <v>#DIV/0!</v>
      </c>
      <c r="L20" s="94">
        <v>0</v>
      </c>
    </row>
    <row r="21" spans="1:12" x14ac:dyDescent="0.25">
      <c r="A21" s="19">
        <v>16</v>
      </c>
      <c r="B21" s="87">
        <v>0</v>
      </c>
      <c r="C21" s="87">
        <v>0</v>
      </c>
      <c r="D21" s="40">
        <f t="shared" si="1"/>
        <v>0</v>
      </c>
      <c r="E21" s="22">
        <v>0</v>
      </c>
      <c r="F21" s="40" t="e">
        <f t="shared" si="2"/>
        <v>#DIV/0!</v>
      </c>
      <c r="G21" s="88">
        <v>0</v>
      </c>
      <c r="H21" s="88">
        <v>0</v>
      </c>
      <c r="I21" s="89">
        <f t="shared" si="3"/>
        <v>0</v>
      </c>
      <c r="J21" s="19">
        <v>0</v>
      </c>
      <c r="K21" s="90" t="e">
        <f t="shared" si="0"/>
        <v>#DIV/0!</v>
      </c>
      <c r="L21" s="94">
        <v>0</v>
      </c>
    </row>
    <row r="22" spans="1:12" x14ac:dyDescent="0.25">
      <c r="A22" s="19">
        <v>17</v>
      </c>
      <c r="B22" s="87">
        <v>0</v>
      </c>
      <c r="C22" s="87">
        <v>0</v>
      </c>
      <c r="D22" s="40">
        <f t="shared" si="1"/>
        <v>0</v>
      </c>
      <c r="E22" s="22">
        <v>0</v>
      </c>
      <c r="F22" s="40" t="e">
        <f t="shared" si="2"/>
        <v>#DIV/0!</v>
      </c>
      <c r="G22" s="88">
        <v>0</v>
      </c>
      <c r="H22" s="88">
        <v>0</v>
      </c>
      <c r="I22" s="89">
        <f t="shared" si="3"/>
        <v>0</v>
      </c>
      <c r="J22" s="19">
        <v>0</v>
      </c>
      <c r="K22" s="90" t="e">
        <f t="shared" si="0"/>
        <v>#DIV/0!</v>
      </c>
      <c r="L22" s="94">
        <v>0</v>
      </c>
    </row>
    <row r="23" spans="1:12" x14ac:dyDescent="0.25">
      <c r="A23" s="19">
        <v>18</v>
      </c>
      <c r="B23" s="87">
        <v>0</v>
      </c>
      <c r="C23" s="87">
        <v>0</v>
      </c>
      <c r="D23" s="40">
        <f t="shared" si="1"/>
        <v>0</v>
      </c>
      <c r="E23" s="22">
        <v>0</v>
      </c>
      <c r="F23" s="40" t="e">
        <f t="shared" si="2"/>
        <v>#DIV/0!</v>
      </c>
      <c r="G23" s="88">
        <v>0</v>
      </c>
      <c r="H23" s="88">
        <v>0</v>
      </c>
      <c r="I23" s="89">
        <f t="shared" si="3"/>
        <v>0</v>
      </c>
      <c r="J23" s="19">
        <v>0</v>
      </c>
      <c r="K23" s="90" t="e">
        <f t="shared" si="0"/>
        <v>#DIV/0!</v>
      </c>
      <c r="L23" s="94">
        <v>0</v>
      </c>
    </row>
    <row r="24" spans="1:12" x14ac:dyDescent="0.25">
      <c r="A24" s="19">
        <v>19</v>
      </c>
      <c r="B24" s="87">
        <v>0</v>
      </c>
      <c r="C24" s="87">
        <v>0</v>
      </c>
      <c r="D24" s="40">
        <f t="shared" si="1"/>
        <v>0</v>
      </c>
      <c r="E24" s="22">
        <v>0</v>
      </c>
      <c r="F24" s="40" t="e">
        <f t="shared" si="2"/>
        <v>#DIV/0!</v>
      </c>
      <c r="G24" s="88">
        <v>0</v>
      </c>
      <c r="H24" s="88">
        <v>0</v>
      </c>
      <c r="I24" s="89">
        <f t="shared" si="3"/>
        <v>0</v>
      </c>
      <c r="J24" s="19">
        <v>0</v>
      </c>
      <c r="K24" s="90" t="e">
        <f t="shared" si="0"/>
        <v>#DIV/0!</v>
      </c>
      <c r="L24" s="94">
        <v>0</v>
      </c>
    </row>
    <row r="25" spans="1:12" x14ac:dyDescent="0.25">
      <c r="A25" s="19">
        <v>20</v>
      </c>
      <c r="B25" s="87">
        <v>0</v>
      </c>
      <c r="C25" s="87">
        <v>0</v>
      </c>
      <c r="D25" s="40">
        <f t="shared" si="1"/>
        <v>0</v>
      </c>
      <c r="E25" s="22">
        <v>0</v>
      </c>
      <c r="F25" s="40" t="e">
        <f t="shared" si="2"/>
        <v>#DIV/0!</v>
      </c>
      <c r="G25" s="88">
        <v>0</v>
      </c>
      <c r="H25" s="88">
        <v>0</v>
      </c>
      <c r="I25" s="89">
        <f t="shared" si="3"/>
        <v>0</v>
      </c>
      <c r="J25" s="19">
        <v>0</v>
      </c>
      <c r="K25" s="90" t="e">
        <f t="shared" si="0"/>
        <v>#DIV/0!</v>
      </c>
      <c r="L25" s="94">
        <v>0</v>
      </c>
    </row>
    <row r="26" spans="1:12" x14ac:dyDescent="0.25">
      <c r="A26" s="19">
        <v>21</v>
      </c>
      <c r="B26" s="87">
        <v>0</v>
      </c>
      <c r="C26" s="87">
        <v>0</v>
      </c>
      <c r="D26" s="40">
        <f t="shared" si="1"/>
        <v>0</v>
      </c>
      <c r="E26" s="22">
        <v>0</v>
      </c>
      <c r="F26" s="40" t="e">
        <f t="shared" si="2"/>
        <v>#DIV/0!</v>
      </c>
      <c r="G26" s="88">
        <v>0</v>
      </c>
      <c r="H26" s="88">
        <v>0</v>
      </c>
      <c r="I26" s="89">
        <f t="shared" si="3"/>
        <v>0</v>
      </c>
      <c r="J26" s="19">
        <v>0</v>
      </c>
      <c r="K26" s="90" t="e">
        <f t="shared" si="0"/>
        <v>#DIV/0!</v>
      </c>
      <c r="L26" s="94">
        <v>0</v>
      </c>
    </row>
    <row r="27" spans="1:12" x14ac:dyDescent="0.25">
      <c r="A27" s="19">
        <v>22</v>
      </c>
      <c r="B27" s="87">
        <v>0</v>
      </c>
      <c r="C27" s="87">
        <v>0</v>
      </c>
      <c r="D27" s="40">
        <f t="shared" si="1"/>
        <v>0</v>
      </c>
      <c r="E27" s="22">
        <v>0</v>
      </c>
      <c r="F27" s="40" t="e">
        <f t="shared" si="2"/>
        <v>#DIV/0!</v>
      </c>
      <c r="G27" s="88">
        <v>0</v>
      </c>
      <c r="H27" s="88">
        <v>0</v>
      </c>
      <c r="I27" s="89">
        <f t="shared" si="3"/>
        <v>0</v>
      </c>
      <c r="J27" s="19">
        <v>0</v>
      </c>
      <c r="K27" s="90" t="e">
        <f t="shared" si="0"/>
        <v>#DIV/0!</v>
      </c>
      <c r="L27" s="94">
        <v>0</v>
      </c>
    </row>
    <row r="28" spans="1:12" x14ac:dyDescent="0.25">
      <c r="A28" s="19">
        <v>23</v>
      </c>
      <c r="B28" s="87">
        <v>0</v>
      </c>
      <c r="C28" s="87">
        <v>0</v>
      </c>
      <c r="D28" s="40">
        <f t="shared" si="1"/>
        <v>0</v>
      </c>
      <c r="E28" s="22">
        <v>0</v>
      </c>
      <c r="F28" s="40" t="e">
        <f t="shared" si="2"/>
        <v>#DIV/0!</v>
      </c>
      <c r="G28" s="88">
        <v>0</v>
      </c>
      <c r="H28" s="88">
        <v>0</v>
      </c>
      <c r="I28" s="89">
        <f t="shared" si="3"/>
        <v>0</v>
      </c>
      <c r="J28" s="19">
        <v>0</v>
      </c>
      <c r="K28" s="90" t="e">
        <f t="shared" si="0"/>
        <v>#DIV/0!</v>
      </c>
      <c r="L28" s="94">
        <v>0</v>
      </c>
    </row>
    <row r="29" spans="1:12" x14ac:dyDescent="0.25">
      <c r="A29" s="19">
        <v>24</v>
      </c>
      <c r="B29" s="87">
        <v>0</v>
      </c>
      <c r="C29" s="87">
        <v>0</v>
      </c>
      <c r="D29" s="40">
        <f t="shared" si="1"/>
        <v>0</v>
      </c>
      <c r="E29" s="22">
        <v>0</v>
      </c>
      <c r="F29" s="40" t="e">
        <f t="shared" si="2"/>
        <v>#DIV/0!</v>
      </c>
      <c r="G29" s="88">
        <v>0</v>
      </c>
      <c r="H29" s="88">
        <v>0</v>
      </c>
      <c r="I29" s="89">
        <f t="shared" si="3"/>
        <v>0</v>
      </c>
      <c r="J29" s="19">
        <v>0</v>
      </c>
      <c r="K29" s="90" t="e">
        <f t="shared" si="0"/>
        <v>#DIV/0!</v>
      </c>
      <c r="L29" s="94">
        <v>0</v>
      </c>
    </row>
    <row r="30" spans="1:12" x14ac:dyDescent="0.25">
      <c r="A30" s="19">
        <v>25</v>
      </c>
      <c r="B30" s="87">
        <v>0</v>
      </c>
      <c r="C30" s="87">
        <v>0</v>
      </c>
      <c r="D30" s="40">
        <f t="shared" si="1"/>
        <v>0</v>
      </c>
      <c r="E30" s="22">
        <v>0</v>
      </c>
      <c r="F30" s="40" t="e">
        <f t="shared" si="2"/>
        <v>#DIV/0!</v>
      </c>
      <c r="G30" s="88">
        <v>0</v>
      </c>
      <c r="H30" s="88">
        <v>0</v>
      </c>
      <c r="I30" s="89">
        <f t="shared" si="3"/>
        <v>0</v>
      </c>
      <c r="J30" s="19">
        <v>0</v>
      </c>
      <c r="K30" s="90" t="e">
        <f t="shared" si="0"/>
        <v>#DIV/0!</v>
      </c>
      <c r="L30" s="94">
        <v>0</v>
      </c>
    </row>
    <row r="31" spans="1:12" x14ac:dyDescent="0.25">
      <c r="A31" s="19">
        <v>26</v>
      </c>
      <c r="B31" s="87">
        <v>0</v>
      </c>
      <c r="C31" s="87">
        <v>0</v>
      </c>
      <c r="D31" s="40">
        <f t="shared" si="1"/>
        <v>0</v>
      </c>
      <c r="E31" s="22">
        <v>0</v>
      </c>
      <c r="F31" s="40" t="e">
        <f t="shared" si="2"/>
        <v>#DIV/0!</v>
      </c>
      <c r="G31" s="88">
        <v>0</v>
      </c>
      <c r="H31" s="88">
        <v>0</v>
      </c>
      <c r="I31" s="89">
        <f t="shared" si="3"/>
        <v>0</v>
      </c>
      <c r="J31" s="19">
        <v>0</v>
      </c>
      <c r="K31" s="90" t="e">
        <f t="shared" si="0"/>
        <v>#DIV/0!</v>
      </c>
      <c r="L31" s="94">
        <v>0</v>
      </c>
    </row>
    <row r="32" spans="1:12" x14ac:dyDescent="0.25">
      <c r="A32" s="19">
        <v>27</v>
      </c>
      <c r="B32" s="87">
        <v>0</v>
      </c>
      <c r="C32" s="87">
        <v>0</v>
      </c>
      <c r="D32" s="40">
        <f t="shared" si="1"/>
        <v>0</v>
      </c>
      <c r="E32" s="22">
        <v>0</v>
      </c>
      <c r="F32" s="40" t="e">
        <f t="shared" si="2"/>
        <v>#DIV/0!</v>
      </c>
      <c r="G32" s="88">
        <v>0</v>
      </c>
      <c r="H32" s="88">
        <v>0</v>
      </c>
      <c r="I32" s="89">
        <f t="shared" si="3"/>
        <v>0</v>
      </c>
      <c r="J32" s="19">
        <v>0</v>
      </c>
      <c r="K32" s="90" t="e">
        <f t="shared" si="0"/>
        <v>#DIV/0!</v>
      </c>
      <c r="L32" s="94">
        <v>0</v>
      </c>
    </row>
    <row r="33" spans="1:12" x14ac:dyDescent="0.25">
      <c r="A33" s="19">
        <v>28</v>
      </c>
      <c r="B33" s="87">
        <v>0</v>
      </c>
      <c r="C33" s="87">
        <v>0</v>
      </c>
      <c r="D33" s="40">
        <f t="shared" si="1"/>
        <v>0</v>
      </c>
      <c r="E33" s="22">
        <v>0</v>
      </c>
      <c r="F33" s="40" t="e">
        <f t="shared" si="2"/>
        <v>#DIV/0!</v>
      </c>
      <c r="G33" s="88">
        <v>0</v>
      </c>
      <c r="H33" s="88">
        <v>0</v>
      </c>
      <c r="I33" s="89">
        <f t="shared" si="3"/>
        <v>0</v>
      </c>
      <c r="J33" s="19">
        <v>0</v>
      </c>
      <c r="K33" s="90" t="e">
        <f t="shared" si="0"/>
        <v>#DIV/0!</v>
      </c>
      <c r="L33" s="94">
        <v>0</v>
      </c>
    </row>
    <row r="34" spans="1:12" x14ac:dyDescent="0.25">
      <c r="A34" s="19">
        <v>29</v>
      </c>
      <c r="B34" s="87">
        <v>0</v>
      </c>
      <c r="C34" s="87">
        <v>0</v>
      </c>
      <c r="D34" s="40">
        <f t="shared" si="1"/>
        <v>0</v>
      </c>
      <c r="E34" s="22">
        <v>0</v>
      </c>
      <c r="F34" s="40" t="e">
        <f t="shared" si="2"/>
        <v>#DIV/0!</v>
      </c>
      <c r="G34" s="88">
        <v>0</v>
      </c>
      <c r="H34" s="88">
        <v>0</v>
      </c>
      <c r="I34" s="89">
        <f t="shared" si="3"/>
        <v>0</v>
      </c>
      <c r="J34" s="19">
        <v>0</v>
      </c>
      <c r="K34" s="90" t="e">
        <f t="shared" si="0"/>
        <v>#DIV/0!</v>
      </c>
      <c r="L34" s="94">
        <v>0</v>
      </c>
    </row>
    <row r="35" spans="1:12" x14ac:dyDescent="0.25">
      <c r="A35" s="19">
        <v>30</v>
      </c>
      <c r="B35" s="87">
        <v>0</v>
      </c>
      <c r="C35" s="87">
        <v>0</v>
      </c>
      <c r="D35" s="40">
        <f t="shared" si="1"/>
        <v>0</v>
      </c>
      <c r="E35" s="22">
        <v>0</v>
      </c>
      <c r="F35" s="40" t="e">
        <f t="shared" si="2"/>
        <v>#DIV/0!</v>
      </c>
      <c r="G35" s="88">
        <v>0</v>
      </c>
      <c r="H35" s="88">
        <v>0</v>
      </c>
      <c r="I35" s="89">
        <f t="shared" si="3"/>
        <v>0</v>
      </c>
      <c r="J35" s="19">
        <v>0</v>
      </c>
      <c r="K35" s="90" t="e">
        <f t="shared" si="0"/>
        <v>#DIV/0!</v>
      </c>
      <c r="L35" s="94">
        <v>0</v>
      </c>
    </row>
    <row r="36" spans="1:12" x14ac:dyDescent="0.25">
      <c r="A36" s="19">
        <v>31</v>
      </c>
      <c r="B36" s="87">
        <v>0</v>
      </c>
      <c r="C36" s="87">
        <v>0</v>
      </c>
      <c r="D36" s="40">
        <f t="shared" si="1"/>
        <v>0</v>
      </c>
      <c r="E36" s="22">
        <v>0</v>
      </c>
      <c r="F36" s="40" t="e">
        <f t="shared" si="2"/>
        <v>#DIV/0!</v>
      </c>
      <c r="G36" s="88">
        <v>0</v>
      </c>
      <c r="H36" s="88">
        <v>0</v>
      </c>
      <c r="I36" s="89">
        <f t="shared" si="3"/>
        <v>0</v>
      </c>
      <c r="J36" s="19">
        <v>0</v>
      </c>
      <c r="K36" s="90" t="e">
        <f t="shared" si="0"/>
        <v>#DIV/0!</v>
      </c>
      <c r="L36" s="94">
        <v>0</v>
      </c>
    </row>
    <row r="37" spans="1:12" x14ac:dyDescent="0.25">
      <c r="A37" s="107" t="s">
        <v>28</v>
      </c>
      <c r="B37" s="77">
        <f>SUM(B6:B36)</f>
        <v>0</v>
      </c>
      <c r="C37" s="77">
        <f>SUM(C6:C36)</f>
        <v>0</v>
      </c>
      <c r="D37" s="78">
        <f t="shared" ref="D37:D38" si="4">IFERROR((C37/B37),0)</f>
        <v>0</v>
      </c>
      <c r="E37" s="56">
        <f>SUM(E6:E36)</f>
        <v>0</v>
      </c>
      <c r="F37" s="56"/>
      <c r="G37" s="77">
        <f>SUM(G6:G36)</f>
        <v>0</v>
      </c>
      <c r="H37" s="77">
        <f>SUM(H6:H36)</f>
        <v>0</v>
      </c>
      <c r="I37" s="95">
        <f t="shared" si="3"/>
        <v>0</v>
      </c>
      <c r="J37" s="96">
        <f>SUM(J6:J36)</f>
        <v>0</v>
      </c>
      <c r="K37" s="83"/>
      <c r="L37" s="97">
        <f t="shared" ref="L37" si="5">SUM(L6:L36)</f>
        <v>0</v>
      </c>
    </row>
    <row r="38" spans="1:12" x14ac:dyDescent="0.25">
      <c r="A38" s="107" t="s">
        <v>52</v>
      </c>
      <c r="B38" s="77">
        <f>B37/$B$39</f>
        <v>0</v>
      </c>
      <c r="C38" s="77">
        <f>C37/$B$39</f>
        <v>0</v>
      </c>
      <c r="D38" s="78">
        <f t="shared" si="4"/>
        <v>0</v>
      </c>
      <c r="E38" s="56">
        <f>E37/B39</f>
        <v>0</v>
      </c>
      <c r="F38" s="56"/>
      <c r="G38" s="77">
        <f>G37/$B$39</f>
        <v>0</v>
      </c>
      <c r="H38" s="77">
        <f>H37/$B$39</f>
        <v>0</v>
      </c>
      <c r="I38" s="95">
        <f t="shared" si="3"/>
        <v>0</v>
      </c>
      <c r="J38" s="96">
        <f>J37/B39</f>
        <v>0</v>
      </c>
      <c r="K38" s="83"/>
      <c r="L38" s="85">
        <f>L37/B39</f>
        <v>0</v>
      </c>
    </row>
    <row r="39" spans="1:12" x14ac:dyDescent="0.25">
      <c r="A39" s="107" t="s">
        <v>53</v>
      </c>
      <c r="B39" s="80">
        <f>Stats!B39</f>
        <v>17</v>
      </c>
      <c r="C39" s="80"/>
      <c r="D39" s="81"/>
      <c r="E39" s="56"/>
      <c r="F39" s="56"/>
      <c r="G39" s="80"/>
      <c r="H39" s="80"/>
      <c r="I39" s="98"/>
      <c r="J39" s="82"/>
      <c r="K39" s="83"/>
      <c r="L39" s="85"/>
    </row>
    <row r="40" spans="1:12" x14ac:dyDescent="0.25">
      <c r="A40" s="9"/>
      <c r="B40" s="2"/>
      <c r="C40" s="2"/>
      <c r="D40" s="3"/>
      <c r="G40" s="2"/>
      <c r="H40" s="2"/>
      <c r="I40" s="16"/>
      <c r="J40" s="15"/>
    </row>
    <row r="41" spans="1:12" x14ac:dyDescent="0.25">
      <c r="A41" s="9"/>
      <c r="B41" s="2"/>
      <c r="C41" s="2"/>
      <c r="D41" s="3"/>
      <c r="G41" s="2"/>
      <c r="H41" s="2"/>
      <c r="I41" s="16"/>
      <c r="J41" s="15"/>
    </row>
    <row r="42" spans="1:12" x14ac:dyDescent="0.25">
      <c r="A42" s="9"/>
      <c r="B42" s="2"/>
      <c r="C42" s="2"/>
      <c r="D42" s="3"/>
      <c r="G42" s="2"/>
      <c r="H42" s="2"/>
      <c r="I42" s="16"/>
      <c r="J42" s="15"/>
    </row>
    <row r="43" spans="1:12" x14ac:dyDescent="0.25">
      <c r="A43" s="9"/>
      <c r="B43" s="2"/>
      <c r="C43" s="2"/>
      <c r="D43" s="3"/>
      <c r="G43" s="2"/>
      <c r="H43" s="2"/>
      <c r="I43" s="16"/>
      <c r="J43" s="15"/>
    </row>
    <row r="44" spans="1:12" x14ac:dyDescent="0.25">
      <c r="A44" s="9"/>
      <c r="B44" s="2"/>
      <c r="C44" s="2"/>
      <c r="D44" s="3"/>
      <c r="G44" s="2"/>
      <c r="H44" s="2"/>
      <c r="I44" s="16"/>
      <c r="J44" s="15"/>
    </row>
    <row r="45" spans="1:12" x14ac:dyDescent="0.25">
      <c r="A45" s="9"/>
      <c r="B45" s="2"/>
      <c r="C45" s="2"/>
      <c r="D45" s="3"/>
      <c r="G45" s="2"/>
      <c r="H45" s="2"/>
      <c r="I45" s="16"/>
      <c r="J45" s="15"/>
    </row>
    <row r="46" spans="1:12" x14ac:dyDescent="0.25">
      <c r="A46" s="9"/>
      <c r="B46" s="2" t="s">
        <v>29</v>
      </c>
      <c r="C46" s="2"/>
      <c r="D46" s="3"/>
      <c r="G46" s="2"/>
      <c r="H46" s="2"/>
      <c r="I46" s="16"/>
      <c r="J46" s="15"/>
    </row>
  </sheetData>
  <dataValidations count="3">
    <dataValidation allowBlank="1" showInputMessage="1" showErrorMessage="1" prompt="Actual Day 1" sqref="C4" xr:uid="{1B7DD78B-7310-42E2-BC86-621E96B65D48}"/>
    <dataValidation allowBlank="1" showInputMessage="1" showErrorMessage="1" prompt="Scheduled Day 1" sqref="B4" xr:uid="{529894FB-2796-4707-B7D4-79F59D714A6D}"/>
    <dataValidation type="list" allowBlank="1" showInputMessage="1" showErrorMessage="1" sqref="I2:J2" xr:uid="{1E6F56BB-26C4-4009-9090-EFA11211E2DE}">
      <formula1>#REF!</formula1>
    </dataValidation>
  </dataValidations>
  <hyperlinks>
    <hyperlink ref="D4" location="Stats!D4" tooltip="Scheduled to Actual Day 1 % rate" display="Sch/Act" xr:uid="{85E84D50-12E3-4EA5-959C-BF8AD2EAC3CA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AD170CFBF56A4B8CAA1A27352E7D3E" ma:contentTypeVersion="13" ma:contentTypeDescription="Create a new document." ma:contentTypeScope="" ma:versionID="40d8d8f9208b41dc541c7be6c2bf71f2">
  <xsd:schema xmlns:xsd="http://www.w3.org/2001/XMLSchema" xmlns:xs="http://www.w3.org/2001/XMLSchema" xmlns:p="http://schemas.microsoft.com/office/2006/metadata/properties" xmlns:ns2="212240cb-83bd-4429-b0cd-a99e8fb47f59" xmlns:ns3="b769439e-1fa0-4d12-a7b5-b46518be3887" targetNamespace="http://schemas.microsoft.com/office/2006/metadata/properties" ma:root="true" ma:fieldsID="5b3f20b95706bc10fdd2c7a122363943" ns2:_="" ns3:_="">
    <xsd:import namespace="212240cb-83bd-4429-b0cd-a99e8fb47f59"/>
    <xsd:import namespace="b769439e-1fa0-4d12-a7b5-b46518be388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240cb-83bd-4429-b0cd-a99e8fb47f5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c4ddf90-41a9-4ea0-93e2-76cd3926ca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9439e-1fa0-4d12-a7b5-b46518be388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5653e2f-3aff-4897-9669-f1b60e07eaf5}" ma:internalName="TaxCatchAll" ma:showField="CatchAllData" ma:web="b769439e-1fa0-4d12-a7b5-b46518be3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69439e-1fa0-4d12-a7b5-b46518be3887" xsi:nil="true"/>
    <lcf76f155ced4ddcb4097134ff3c332f xmlns="212240cb-83bd-4429-b0cd-a99e8fb47f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E97B2D-24CC-4739-80DC-0C956BF36E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902E87-96E3-4503-B60E-B41B8E494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240cb-83bd-4429-b0cd-a99e8fb47f59"/>
    <ds:schemaRef ds:uri="b769439e-1fa0-4d12-a7b5-b46518be3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1EE0D-1BB0-4177-A0C8-E7AE0D342A9B}">
  <ds:schemaRefs>
    <ds:schemaRef ds:uri="http://schemas.microsoft.com/office/2006/metadata/properties"/>
    <ds:schemaRef ds:uri="http://schemas.microsoft.com/office/infopath/2007/PartnerControls"/>
    <ds:schemaRef ds:uri="b769439e-1fa0-4d12-a7b5-b46518be3887"/>
    <ds:schemaRef ds:uri="212240cb-83bd-4429-b0cd-a99e8fb47f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Lists</vt:lpstr>
      <vt:lpstr>Stats</vt:lpstr>
      <vt:lpstr>Chiro</vt:lpstr>
      <vt:lpstr>Massage</vt:lpstr>
      <vt:lpstr>TRT</vt:lpstr>
      <vt:lpstr>SDT</vt:lpstr>
      <vt:lpstr>X-Ray</vt:lpstr>
      <vt:lpstr>SHP</vt:lpstr>
      <vt:lpstr>EWOT</vt:lpstr>
      <vt:lpstr>PEMF</vt:lpstr>
      <vt:lpstr>RLT</vt:lpstr>
      <vt:lpstr>Laser</vt:lpstr>
      <vt:lpstr>US</vt:lpstr>
      <vt:lpstr>Months</vt:lpstr>
      <vt:lpstr>Years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Day, Joshua</dc:creator>
  <cp:keywords/>
  <dc:description/>
  <cp:lastModifiedBy>Courtney Lanier</cp:lastModifiedBy>
  <cp:revision/>
  <dcterms:created xsi:type="dcterms:W3CDTF">2022-09-03T18:40:17Z</dcterms:created>
  <dcterms:modified xsi:type="dcterms:W3CDTF">2025-05-21T15:19:03Z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0x01010085AD170CFBF56A4B8CAA1A27352E7D3E</vt:lpwstr>
  </property>
  <property fmtid="{D5CDD505-2E9C-101B-9397-08002B2CF9AE}" pid="3" name="MediaServiceImageTags">
    <vt:lpwstr/>
  </property>
</Properties>
</file>